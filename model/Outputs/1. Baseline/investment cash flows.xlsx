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mailaub-my.sharepoint.com/personal/mo10_aub_edu_lb/Documents/3-Research/Elsa/Model 1/Github/Model-1/model/Outputs/1. Baseline/"/>
    </mc:Choice>
  </mc:AlternateContent>
  <xr:revisionPtr revIDLastSave="80" documentId="11_F25DC773A252ABDACC104825295A6F925BDE58E7" xr6:coauthVersionLast="47" xr6:coauthVersionMax="47" xr10:uidLastSave="{C144AEE3-7BC1-48AF-800A-9A569CF8BF6E}"/>
  <bookViews>
    <workbookView xWindow="-110" yWindow="-110" windowWidth="19420" windowHeight="10420" activeTab="1" xr2:uid="{00000000-000D-0000-FFFF-FFFF00000000}"/>
  </bookViews>
  <sheets>
    <sheet name="Total" sheetId="1" r:id="rId1"/>
    <sheet name="PV" sheetId="2" r:id="rId2"/>
    <sheet name="Batterie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8" i="2" l="1"/>
  <c r="Q7" i="2"/>
  <c r="Q6" i="2"/>
  <c r="Q8" i="3"/>
  <c r="Q7" i="3"/>
  <c r="Q6" i="3"/>
  <c r="Q7" i="1"/>
  <c r="Q8" i="1"/>
  <c r="Q6" i="1"/>
</calcChain>
</file>

<file path=xl/sharedStrings.xml><?xml version="1.0" encoding="utf-8"?>
<sst xmlns="http://schemas.openxmlformats.org/spreadsheetml/2006/main" count="4" uniqueCount="2">
  <si>
    <t>RE target</t>
  </si>
  <si>
    <t>costs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</si>
</sst>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opLeftCell="A7" workbookViewId="0">
      <selection activeCell="A17" sqref="A17:O17"/>
    </sheetView>
  </sheetViews>
  <sheetFormatPr defaultRowHeight="14.5" x14ac:dyDescent="0.35"/>
  <sheetData>
    <row r="1" spans="1:17" x14ac:dyDescent="0.3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</row>
    <row r="2" spans="1:17" x14ac:dyDescent="0.35">
      <c r="A2">
        <v>0</v>
      </c>
    </row>
    <row r="3" spans="1:17" x14ac:dyDescent="0.35">
      <c r="A3">
        <v>10</v>
      </c>
    </row>
    <row r="4" spans="1:17" x14ac:dyDescent="0.35">
      <c r="A4">
        <v>20</v>
      </c>
    </row>
    <row r="5" spans="1:17" x14ac:dyDescent="0.35">
      <c r="A5">
        <v>30</v>
      </c>
    </row>
    <row r="6" spans="1:17" x14ac:dyDescent="0.35">
      <c r="A6">
        <v>40</v>
      </c>
      <c r="B6">
        <v>77078.289999999994</v>
      </c>
      <c r="C6">
        <v>0</v>
      </c>
      <c r="D6">
        <v>0</v>
      </c>
      <c r="E6">
        <v>269933.68099999998</v>
      </c>
      <c r="F6">
        <v>52000</v>
      </c>
      <c r="G6">
        <v>0</v>
      </c>
      <c r="H6">
        <v>0</v>
      </c>
      <c r="I6">
        <v>23666.969000000001</v>
      </c>
      <c r="J6">
        <v>73778.12</v>
      </c>
      <c r="K6">
        <v>82400</v>
      </c>
      <c r="L6">
        <v>0</v>
      </c>
      <c r="M6">
        <v>35636.171999999999</v>
      </c>
      <c r="N6">
        <v>0</v>
      </c>
      <c r="O6">
        <v>0</v>
      </c>
      <c r="P6">
        <v>0</v>
      </c>
      <c r="Q6">
        <f>SUM(B6:P6)</f>
        <v>614493.23199999996</v>
      </c>
    </row>
    <row r="7" spans="1:17" x14ac:dyDescent="0.35">
      <c r="A7">
        <v>50</v>
      </c>
      <c r="B7">
        <v>238707.21299999999</v>
      </c>
      <c r="C7">
        <v>0</v>
      </c>
      <c r="D7">
        <v>0</v>
      </c>
      <c r="E7">
        <v>87200</v>
      </c>
      <c r="F7">
        <v>13600</v>
      </c>
      <c r="G7">
        <v>0</v>
      </c>
      <c r="H7">
        <v>0</v>
      </c>
      <c r="I7">
        <v>30049.073</v>
      </c>
      <c r="J7">
        <v>116827.44</v>
      </c>
      <c r="K7">
        <v>52000</v>
      </c>
      <c r="L7">
        <v>9600</v>
      </c>
      <c r="M7">
        <v>800</v>
      </c>
      <c r="N7">
        <v>0</v>
      </c>
      <c r="O7">
        <v>0</v>
      </c>
      <c r="P7">
        <v>0</v>
      </c>
      <c r="Q7">
        <f t="shared" ref="Q7:Q8" si="0">SUM(B7:P7)</f>
        <v>548783.72600000002</v>
      </c>
    </row>
    <row r="8" spans="1:17" x14ac:dyDescent="0.35">
      <c r="A8">
        <v>60</v>
      </c>
      <c r="B8">
        <v>252029.696</v>
      </c>
      <c r="C8">
        <v>0</v>
      </c>
      <c r="D8">
        <v>0</v>
      </c>
      <c r="E8">
        <v>62410.209000000003</v>
      </c>
      <c r="F8">
        <v>39200</v>
      </c>
      <c r="G8">
        <v>1896.3400000000001</v>
      </c>
      <c r="H8">
        <v>0</v>
      </c>
      <c r="I8">
        <v>0</v>
      </c>
      <c r="J8">
        <v>117452.11200000001</v>
      </c>
      <c r="K8">
        <v>64800</v>
      </c>
      <c r="L8">
        <v>800</v>
      </c>
      <c r="M8">
        <v>0</v>
      </c>
      <c r="N8">
        <v>0</v>
      </c>
      <c r="O8">
        <v>0</v>
      </c>
      <c r="P8">
        <v>0</v>
      </c>
      <c r="Q8">
        <f t="shared" si="0"/>
        <v>538588.35700000008</v>
      </c>
    </row>
    <row r="14" spans="1:17" x14ac:dyDescent="0.35">
      <c r="A14" t="s">
        <v>1</v>
      </c>
    </row>
    <row r="15" spans="1:17" x14ac:dyDescent="0.35">
      <c r="A15">
        <v>800</v>
      </c>
      <c r="B15">
        <v>800</v>
      </c>
      <c r="C15">
        <v>800</v>
      </c>
      <c r="D15">
        <v>800</v>
      </c>
      <c r="E15">
        <v>800</v>
      </c>
      <c r="F15">
        <v>800</v>
      </c>
      <c r="G15">
        <v>800</v>
      </c>
      <c r="H15">
        <v>800</v>
      </c>
      <c r="I15">
        <v>800</v>
      </c>
      <c r="J15">
        <v>800</v>
      </c>
      <c r="K15">
        <v>800</v>
      </c>
      <c r="L15">
        <v>800</v>
      </c>
      <c r="M15">
        <v>800</v>
      </c>
      <c r="N15">
        <v>800</v>
      </c>
      <c r="O15">
        <v>800</v>
      </c>
    </row>
    <row r="16" spans="1:17" x14ac:dyDescent="0.35">
      <c r="A16">
        <v>963.61300000000006</v>
      </c>
      <c r="B16">
        <v>910.60199999999998</v>
      </c>
      <c r="C16">
        <v>856.41399999999999</v>
      </c>
      <c r="D16">
        <v>803.40300000000002</v>
      </c>
      <c r="E16">
        <v>790.44499999999994</v>
      </c>
      <c r="F16">
        <v>777.48700000000008</v>
      </c>
      <c r="G16">
        <v>765.70699999999999</v>
      </c>
      <c r="H16">
        <v>752.74900000000002</v>
      </c>
      <c r="I16">
        <v>739.79099999999994</v>
      </c>
      <c r="J16">
        <v>728.01</v>
      </c>
      <c r="K16">
        <v>715.05200000000002</v>
      </c>
      <c r="L16">
        <v>703.27200000000005</v>
      </c>
      <c r="M16">
        <v>690.31399999999996</v>
      </c>
      <c r="N16">
        <v>677.35599999999999</v>
      </c>
      <c r="O16">
        <v>665.57599999999991</v>
      </c>
    </row>
    <row r="17" spans="1:15" x14ac:dyDescent="0.35">
      <c r="A17">
        <v>335.12299999999999</v>
      </c>
      <c r="B17">
        <v>323.07068600000002</v>
      </c>
      <c r="C17">
        <v>310.63</v>
      </c>
      <c r="D17">
        <v>298.57800000000003</v>
      </c>
      <c r="E17">
        <v>286.52600000000001</v>
      </c>
      <c r="F17">
        <v>274.08500000000004</v>
      </c>
      <c r="G17">
        <v>269.80900000000003</v>
      </c>
      <c r="H17">
        <v>265.92099999999999</v>
      </c>
      <c r="I17">
        <v>261.64400000000001</v>
      </c>
      <c r="J17">
        <v>257.36799999999999</v>
      </c>
      <c r="K17">
        <v>253.09100000000001</v>
      </c>
      <c r="L17">
        <v>249.20400000000001</v>
      </c>
      <c r="M17">
        <v>244.92699999999999</v>
      </c>
      <c r="N17">
        <v>240.65100000000001</v>
      </c>
      <c r="O17">
        <v>236.374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78B5-4F52-485C-935C-C0B5A7E4F3AB}">
  <dimension ref="A1:Q8"/>
  <sheetViews>
    <sheetView tabSelected="1" workbookViewId="0">
      <selection activeCell="Q6" sqref="Q6:Q8"/>
    </sheetView>
  </sheetViews>
  <sheetFormatPr defaultRowHeight="14.5" x14ac:dyDescent="0.35"/>
  <sheetData>
    <row r="1" spans="1:17" x14ac:dyDescent="0.3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</row>
    <row r="2" spans="1:17" x14ac:dyDescent="0.35">
      <c r="A2">
        <v>0</v>
      </c>
    </row>
    <row r="3" spans="1:17" x14ac:dyDescent="0.35">
      <c r="A3">
        <v>10</v>
      </c>
    </row>
    <row r="4" spans="1:17" x14ac:dyDescent="0.35">
      <c r="A4">
        <v>20</v>
      </c>
    </row>
    <row r="5" spans="1:17" x14ac:dyDescent="0.35">
      <c r="A5">
        <v>30</v>
      </c>
    </row>
    <row r="6" spans="1:17" x14ac:dyDescent="0.35">
      <c r="A6">
        <v>40</v>
      </c>
      <c r="B6">
        <v>0</v>
      </c>
      <c r="C6">
        <v>0</v>
      </c>
      <c r="D6">
        <v>0</v>
      </c>
      <c r="E6">
        <v>156663.58499999999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f>SUM(B6:P6)</f>
        <v>156663.58499999999</v>
      </c>
    </row>
    <row r="7" spans="1:17" x14ac:dyDescent="0.35">
      <c r="A7">
        <v>50</v>
      </c>
      <c r="B7">
        <v>113706.334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f>SUM(B7:P7)</f>
        <v>113706.334</v>
      </c>
    </row>
    <row r="8" spans="1:17" x14ac:dyDescent="0.35">
      <c r="A8">
        <v>60</v>
      </c>
      <c r="B8">
        <v>123342.46400000001</v>
      </c>
      <c r="C8">
        <v>0</v>
      </c>
      <c r="D8">
        <v>0</v>
      </c>
      <c r="E8">
        <v>2410.2089999999998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f>SUM(B8:P8)</f>
        <v>125752.67300000001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06EB6-EDD8-4AEC-8B53-ACA3331D7AB3}">
  <dimension ref="A1:Q8"/>
  <sheetViews>
    <sheetView workbookViewId="0">
      <selection activeCell="Q6" sqref="Q6:Q8"/>
    </sheetView>
  </sheetViews>
  <sheetFormatPr defaultRowHeight="14.5" x14ac:dyDescent="0.35"/>
  <sheetData>
    <row r="1" spans="1:17" x14ac:dyDescent="0.35">
      <c r="A1" t="s">
        <v>0</v>
      </c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</row>
    <row r="2" spans="1:17" x14ac:dyDescent="0.35">
      <c r="A2">
        <v>0</v>
      </c>
    </row>
    <row r="3" spans="1:17" x14ac:dyDescent="0.35">
      <c r="A3">
        <v>10</v>
      </c>
    </row>
    <row r="4" spans="1:17" x14ac:dyDescent="0.35">
      <c r="A4">
        <v>20</v>
      </c>
    </row>
    <row r="5" spans="1:17" x14ac:dyDescent="0.35">
      <c r="A5">
        <v>30</v>
      </c>
    </row>
    <row r="6" spans="1:17" x14ac:dyDescent="0.35">
      <c r="A6">
        <v>40</v>
      </c>
      <c r="B6">
        <v>77078.289999999994</v>
      </c>
      <c r="C6">
        <v>0</v>
      </c>
      <c r="D6">
        <v>0</v>
      </c>
      <c r="E6">
        <v>69270.096000000005</v>
      </c>
      <c r="F6">
        <v>0</v>
      </c>
      <c r="G6">
        <v>0</v>
      </c>
      <c r="H6">
        <v>0</v>
      </c>
      <c r="I6">
        <v>23666.969000000001</v>
      </c>
      <c r="J6">
        <v>60178.12</v>
      </c>
      <c r="K6">
        <v>0</v>
      </c>
      <c r="L6">
        <v>0</v>
      </c>
      <c r="M6">
        <v>35636.171999999999</v>
      </c>
      <c r="N6">
        <v>0</v>
      </c>
      <c r="O6">
        <v>0</v>
      </c>
      <c r="P6">
        <v>0</v>
      </c>
      <c r="Q6">
        <f>SUM(B6:P6)</f>
        <v>265829.647</v>
      </c>
    </row>
    <row r="7" spans="1:17" x14ac:dyDescent="0.35">
      <c r="A7">
        <v>50</v>
      </c>
      <c r="B7">
        <v>125000.879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30049.073</v>
      </c>
      <c r="J7">
        <v>68027.44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f>SUM(B7:P7)</f>
        <v>223077.39199999999</v>
      </c>
    </row>
    <row r="8" spans="1:17" x14ac:dyDescent="0.35">
      <c r="A8">
        <v>60</v>
      </c>
      <c r="B8">
        <v>128687.23199999999</v>
      </c>
      <c r="C8">
        <v>0</v>
      </c>
      <c r="D8">
        <v>0</v>
      </c>
      <c r="E8">
        <v>0</v>
      </c>
      <c r="F8">
        <v>0</v>
      </c>
      <c r="G8">
        <v>1096.3400000000001</v>
      </c>
      <c r="H8">
        <v>0</v>
      </c>
      <c r="I8">
        <v>0</v>
      </c>
      <c r="J8">
        <v>91052.112000000008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f>SUM(B8:P8)</f>
        <v>220835.68400000001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PV</vt:lpstr>
      <vt:lpstr>Batteries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Elsa</dc:creator>
  <cp:lastModifiedBy>Elsa Bou Gebrael (Student)</cp:lastModifiedBy>
  <dcterms:created xsi:type="dcterms:W3CDTF">2015-06-05T18:17:20Z</dcterms:created>
  <dcterms:modified xsi:type="dcterms:W3CDTF">2025-08-17T20:08:33Z</dcterms:modified>
</cp:coreProperties>
</file>