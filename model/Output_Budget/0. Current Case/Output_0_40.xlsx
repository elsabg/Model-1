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odel-1/model/Output_Budget/0. Current Case/"/>
    </mc:Choice>
  </mc:AlternateContent>
  <xr:revisionPtr revIDLastSave="22" documentId="11_8EE53270D62EC23918CDE0E8BC4A50FB64E9FEEB" xr6:coauthVersionLast="47" xr6:coauthVersionMax="47" xr10:uidLastSave="{11290BC5-0DAD-47B7-BB72-693130BC468D}"/>
  <bookViews>
    <workbookView xWindow="-110" yWindow="-110" windowWidth="19420" windowHeight="10420" firstSheet="2" activeTab="4" xr2:uid="{00000000-000D-0000-FFFF-FFFF00000000}"/>
  </bookViews>
  <sheets>
    <sheet name="Summary" sheetId="1" r:id="rId1"/>
    <sheet name="Costs and Revenues" sheetId="2" r:id="rId2"/>
    <sheet name="Connected Households" sheetId="3" r:id="rId3"/>
    <sheet name="Installed Capacities" sheetId="4" r:id="rId4"/>
    <sheet name="Added Capacities" sheetId="5" r:id="rId5"/>
    <sheet name="Retired Capacities" sheetId="6" r:id="rId6"/>
    <sheet name="DG Dispatch" sheetId="7" r:id="rId7"/>
    <sheet name="PV Dispatch" sheetId="8" r:id="rId8"/>
    <sheet name="Battery Input " sheetId="9" r:id="rId9"/>
    <sheet name="Battery Output" sheetId="10" r:id="rId10"/>
    <sheet name="State of Charge" sheetId="11" r:id="rId11"/>
    <sheet name="Fed-in Capacity" sheetId="12" r:id="rId12"/>
    <sheet name="Yearly demand" sheetId="13" r:id="rId13"/>
    <sheet name="Net demand" sheetId="14" r:id="rId14"/>
    <sheet name="Net surplus" sheetId="15" r:id="rId15"/>
    <sheet name="Unmet Demand" sheetId="16" r:id="rId16"/>
    <sheet name="Household Surplus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5" l="1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B6" i="5"/>
  <c r="D8" i="1"/>
  <c r="Z47" i="13"/>
  <c r="Z5" i="13"/>
  <c r="Z6" i="13"/>
  <c r="Z7" i="13"/>
  <c r="Z8" i="13"/>
  <c r="Z9" i="13"/>
  <c r="Z10" i="13"/>
  <c r="Z11" i="13"/>
  <c r="Z12" i="13"/>
  <c r="Z13" i="13"/>
  <c r="Z14" i="13"/>
  <c r="Z15" i="13"/>
  <c r="Z16" i="13"/>
  <c r="Z17" i="13"/>
  <c r="Z18" i="13"/>
  <c r="Z19" i="13"/>
  <c r="Z20" i="13"/>
  <c r="Z21" i="13"/>
  <c r="Z22" i="13"/>
  <c r="Z23" i="13"/>
  <c r="Z24" i="13"/>
  <c r="Z25" i="13"/>
  <c r="Z26" i="13"/>
  <c r="Z27" i="13"/>
  <c r="Z28" i="13"/>
  <c r="Z29" i="13"/>
  <c r="Z30" i="13"/>
  <c r="Z31" i="13"/>
  <c r="Z32" i="13"/>
  <c r="Z33" i="13"/>
  <c r="Z34" i="13"/>
  <c r="Z35" i="13"/>
  <c r="Z36" i="13"/>
  <c r="Z37" i="13"/>
  <c r="Z38" i="13"/>
  <c r="Z39" i="13"/>
  <c r="Z40" i="13"/>
  <c r="Z41" i="13"/>
  <c r="Z42" i="13"/>
  <c r="Z43" i="13"/>
  <c r="Z44" i="13"/>
  <c r="Z45" i="13"/>
  <c r="Z46" i="13"/>
  <c r="Z4" i="13"/>
  <c r="Z3" i="13"/>
  <c r="Z2" i="13"/>
</calcChain>
</file>

<file path=xl/sharedStrings.xml><?xml version="1.0" encoding="utf-8"?>
<sst xmlns="http://schemas.openxmlformats.org/spreadsheetml/2006/main" count="480" uniqueCount="69">
  <si>
    <t>Interest Rate</t>
  </si>
  <si>
    <t>Unmet Demand Penalty</t>
  </si>
  <si>
    <t>Required Level of Met Demand</t>
  </si>
  <si>
    <t>Minimum Feed-in %</t>
  </si>
  <si>
    <t>NPV</t>
  </si>
  <si>
    <t>Wasted Prosumer Surplus</t>
  </si>
  <si>
    <t>Unmet Demand</t>
  </si>
  <si>
    <t>VoLL</t>
  </si>
  <si>
    <t>Household Surplus</t>
  </si>
  <si>
    <t>Day Weights</t>
  </si>
  <si>
    <t>199, 106, 60</t>
  </si>
  <si>
    <t>Total Revenues</t>
  </si>
  <si>
    <t>Total Capital Costs</t>
  </si>
  <si>
    <t>Total Operation Variable Costs</t>
  </si>
  <si>
    <t>Total Operation Fixed Costs</t>
  </si>
  <si>
    <t>Total Profits</t>
  </si>
  <si>
    <t>Number Connected</t>
  </si>
  <si>
    <t>Consumers</t>
  </si>
  <si>
    <t>Prosumers</t>
  </si>
  <si>
    <t>Diesel Generator</t>
  </si>
  <si>
    <t>Owned PV</t>
  </si>
  <si>
    <t>Owned Batteries</t>
  </si>
  <si>
    <t>0.0</t>
  </si>
  <si>
    <t>0.1</t>
  </si>
  <si>
    <t>0.2</t>
  </si>
  <si>
    <t>1.0</t>
  </si>
  <si>
    <t>1.1</t>
  </si>
  <si>
    <t>1.2</t>
  </si>
  <si>
    <t>2.0</t>
  </si>
  <si>
    <t>2.1</t>
  </si>
  <si>
    <t>2.2</t>
  </si>
  <si>
    <t>3.0</t>
  </si>
  <si>
    <t>3.1</t>
  </si>
  <si>
    <t>3.2</t>
  </si>
  <si>
    <t>4.0</t>
  </si>
  <si>
    <t>4.1</t>
  </si>
  <si>
    <t>4.2</t>
  </si>
  <si>
    <t>5.0</t>
  </si>
  <si>
    <t>5.1</t>
  </si>
  <si>
    <t>5.2</t>
  </si>
  <si>
    <t>6.0</t>
  </si>
  <si>
    <t>6.1</t>
  </si>
  <si>
    <t>6.2</t>
  </si>
  <si>
    <t>7.0</t>
  </si>
  <si>
    <t>7.1</t>
  </si>
  <si>
    <t>7.2</t>
  </si>
  <si>
    <t>8.0</t>
  </si>
  <si>
    <t>8.1</t>
  </si>
  <si>
    <t>8.2</t>
  </si>
  <si>
    <t>9.0</t>
  </si>
  <si>
    <t>9.1</t>
  </si>
  <si>
    <t>9.2</t>
  </si>
  <si>
    <t>10.0</t>
  </si>
  <si>
    <t>10.1</t>
  </si>
  <si>
    <t>10.2</t>
  </si>
  <si>
    <t>11.0</t>
  </si>
  <si>
    <t>11.1</t>
  </si>
  <si>
    <t>11.2</t>
  </si>
  <si>
    <t>12.0</t>
  </si>
  <si>
    <t>12.1</t>
  </si>
  <si>
    <t>12.2</t>
  </si>
  <si>
    <t>13.0</t>
  </si>
  <si>
    <t>13.1</t>
  </si>
  <si>
    <t>13.2</t>
  </si>
  <si>
    <t>14.0</t>
  </si>
  <si>
    <t>14.1</t>
  </si>
  <si>
    <t>14.2</t>
  </si>
  <si>
    <t>surplus</t>
  </si>
  <si>
    <t>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</si>
</sst>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D8" sqref="D8"/>
    </sheetView>
  </sheetViews>
  <sheetFormatPr defaultRowHeight="14.5" x14ac:dyDescent="0.35"/>
  <cols>
    <col min="1" max="1" width="19.7265625" customWidth="1"/>
  </cols>
  <sheetData>
    <row r="1" spans="1:4" x14ac:dyDescent="0.35">
      <c r="B1" s="1">
        <v>0</v>
      </c>
    </row>
    <row r="2" spans="1:4" x14ac:dyDescent="0.35">
      <c r="A2" s="1" t="s">
        <v>0</v>
      </c>
      <c r="B2">
        <v>0.1</v>
      </c>
    </row>
    <row r="3" spans="1:4" x14ac:dyDescent="0.35">
      <c r="A3" s="1" t="s">
        <v>1</v>
      </c>
      <c r="B3">
        <v>0</v>
      </c>
    </row>
    <row r="4" spans="1:4" x14ac:dyDescent="0.35">
      <c r="A4" s="1" t="s">
        <v>2</v>
      </c>
      <c r="B4">
        <v>0</v>
      </c>
    </row>
    <row r="5" spans="1:4" x14ac:dyDescent="0.35">
      <c r="A5" s="1" t="s">
        <v>3</v>
      </c>
      <c r="B5">
        <v>0</v>
      </c>
    </row>
    <row r="6" spans="1:4" x14ac:dyDescent="0.35">
      <c r="A6" s="1" t="s">
        <v>4</v>
      </c>
      <c r="B6">
        <v>2275865.281941582</v>
      </c>
    </row>
    <row r="7" spans="1:4" x14ac:dyDescent="0.35">
      <c r="A7" s="1" t="s">
        <v>5</v>
      </c>
      <c r="B7">
        <v>13476767.256909089</v>
      </c>
    </row>
    <row r="8" spans="1:4" x14ac:dyDescent="0.35">
      <c r="A8" s="1" t="s">
        <v>6</v>
      </c>
      <c r="B8">
        <v>766877.91654604638</v>
      </c>
      <c r="C8">
        <v>-30789066.369910646</v>
      </c>
      <c r="D8">
        <f>B8/C8</f>
        <v>-2.4907475508757104E-2</v>
      </c>
    </row>
    <row r="9" spans="1:4" x14ac:dyDescent="0.35">
      <c r="A9" s="1" t="s">
        <v>7</v>
      </c>
      <c r="B9">
        <v>0.7</v>
      </c>
    </row>
    <row r="10" spans="1:4" x14ac:dyDescent="0.35">
      <c r="A10" s="1" t="s">
        <v>8</v>
      </c>
      <c r="B10">
        <v>6960612.8616873352</v>
      </c>
    </row>
    <row r="11" spans="1:4" x14ac:dyDescent="0.35">
      <c r="A11" s="1" t="s">
        <v>9</v>
      </c>
      <c r="B11" t="s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"/>
  <sheetViews>
    <sheetView workbookViewId="0"/>
  </sheetViews>
  <sheetFormatPr defaultRowHeight="14.5" x14ac:dyDescent="0.35"/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11</v>
      </c>
      <c r="B2">
        <v>819276.33871703839</v>
      </c>
      <c r="C2">
        <v>819276.33871703839</v>
      </c>
      <c r="D2">
        <v>819276.33871703839</v>
      </c>
      <c r="E2">
        <v>783314.46201777307</v>
      </c>
      <c r="F2">
        <v>803107.60053791769</v>
      </c>
      <c r="G2">
        <v>809008.26504167845</v>
      </c>
      <c r="H2">
        <v>809008.26504167845</v>
      </c>
      <c r="I2">
        <v>809008.26504167845</v>
      </c>
      <c r="J2">
        <v>783314.46201777307</v>
      </c>
      <c r="K2">
        <v>809008.26504167845</v>
      </c>
      <c r="L2">
        <v>815992.81483461161</v>
      </c>
      <c r="M2">
        <v>815992.81483461161</v>
      </c>
      <c r="N2">
        <v>815992.81483461161</v>
      </c>
      <c r="O2">
        <v>777578.11423044128</v>
      </c>
      <c r="P2">
        <v>719720.22172026301</v>
      </c>
    </row>
    <row r="3" spans="1:16" x14ac:dyDescent="0.35">
      <c r="A3" s="1" t="s">
        <v>12</v>
      </c>
      <c r="B3">
        <v>0</v>
      </c>
      <c r="C3">
        <v>0</v>
      </c>
      <c r="D3">
        <v>0</v>
      </c>
      <c r="E3">
        <v>262201.80677610787</v>
      </c>
      <c r="F3">
        <v>21544.62652043844</v>
      </c>
      <c r="G3">
        <v>8471.8801202596751</v>
      </c>
      <c r="H3">
        <v>0</v>
      </c>
      <c r="I3">
        <v>0</v>
      </c>
      <c r="J3">
        <v>232185.30013540981</v>
      </c>
      <c r="K3">
        <v>51561.13316113656</v>
      </c>
      <c r="L3">
        <v>21797.862761263059</v>
      </c>
      <c r="M3">
        <v>0</v>
      </c>
      <c r="N3">
        <v>0</v>
      </c>
      <c r="O3">
        <v>183601.7438940632</v>
      </c>
      <c r="P3">
        <v>0</v>
      </c>
    </row>
    <row r="4" spans="1:16" x14ac:dyDescent="0.35">
      <c r="A4" s="1" t="s">
        <v>13</v>
      </c>
      <c r="B4">
        <v>467615.95993173128</v>
      </c>
      <c r="C4">
        <v>467615.95993173128</v>
      </c>
      <c r="D4">
        <v>467615.95993173128</v>
      </c>
      <c r="E4">
        <v>447090.10473614797</v>
      </c>
      <c r="F4">
        <v>458387.37652560702</v>
      </c>
      <c r="G4">
        <v>461755.28154832748</v>
      </c>
      <c r="H4">
        <v>461755.28154832748</v>
      </c>
      <c r="I4">
        <v>461755.28154832748</v>
      </c>
      <c r="J4">
        <v>447090.10473614797</v>
      </c>
      <c r="K4">
        <v>461755.28154832748</v>
      </c>
      <c r="L4">
        <v>465741.83260780032</v>
      </c>
      <c r="M4">
        <v>465741.83260780032</v>
      </c>
      <c r="N4">
        <v>465741.83260780032</v>
      </c>
      <c r="O4">
        <v>443815.98628513073</v>
      </c>
      <c r="P4">
        <v>410792.60617855802</v>
      </c>
    </row>
    <row r="5" spans="1:16" x14ac:dyDescent="0.35">
      <c r="A5" s="1" t="s">
        <v>14</v>
      </c>
      <c r="B5">
        <v>33627.599999999999</v>
      </c>
      <c r="C5">
        <v>33627.599999999999</v>
      </c>
      <c r="D5">
        <v>33627.599999999999</v>
      </c>
      <c r="E5">
        <v>27553.804617325772</v>
      </c>
      <c r="F5">
        <v>29817.8486260092</v>
      </c>
      <c r="G5">
        <v>30708.12673829684</v>
      </c>
      <c r="H5">
        <v>30708.12673829684</v>
      </c>
      <c r="I5">
        <v>30708.12673829684</v>
      </c>
      <c r="J5">
        <v>27553.804617325772</v>
      </c>
      <c r="K5">
        <v>30708.12673829684</v>
      </c>
      <c r="L5">
        <v>32108.504281604979</v>
      </c>
      <c r="M5">
        <v>32108.504281604979</v>
      </c>
      <c r="N5">
        <v>32108.504281604979</v>
      </c>
      <c r="O5">
        <v>27003.040544537769</v>
      </c>
      <c r="P5">
        <v>21584.67441488328</v>
      </c>
    </row>
    <row r="6" spans="1:16" x14ac:dyDescent="0.35">
      <c r="A6" s="1" t="s">
        <v>15</v>
      </c>
      <c r="B6">
        <v>318032.77878530708</v>
      </c>
      <c r="C6">
        <v>318032.77878530708</v>
      </c>
      <c r="D6">
        <v>318032.77878530708</v>
      </c>
      <c r="E6">
        <v>46468.745888191392</v>
      </c>
      <c r="F6">
        <v>293357.74886586308</v>
      </c>
      <c r="G6">
        <v>308072.9766347945</v>
      </c>
      <c r="H6">
        <v>316544.85675505409</v>
      </c>
      <c r="I6">
        <v>316544.85675505409</v>
      </c>
      <c r="J6">
        <v>76485.252528889454</v>
      </c>
      <c r="K6">
        <v>264983.72359391762</v>
      </c>
      <c r="L6">
        <v>296344.61518394342</v>
      </c>
      <c r="M6">
        <v>318142.4779452064</v>
      </c>
      <c r="N6">
        <v>318142.4779452064</v>
      </c>
      <c r="O6">
        <v>123157.3435067096</v>
      </c>
      <c r="P6">
        <v>287342.94112682168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/>
  </sheetViews>
  <sheetFormatPr defaultRowHeight="14.5" x14ac:dyDescent="0.35"/>
  <sheetData>
    <row r="1" spans="1:2" x14ac:dyDescent="0.35">
      <c r="B1" s="1" t="s">
        <v>16</v>
      </c>
    </row>
    <row r="2" spans="1:2" x14ac:dyDescent="0.35">
      <c r="A2" s="1" t="s">
        <v>17</v>
      </c>
      <c r="B2">
        <v>400</v>
      </c>
    </row>
    <row r="3" spans="1:2" x14ac:dyDescent="0.35">
      <c r="A3" s="1" t="s">
        <v>18</v>
      </c>
      <c r="B3">
        <v>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6"/>
  <sheetViews>
    <sheetView workbookViewId="0">
      <selection activeCell="A6" sqref="A6"/>
    </sheetView>
  </sheetViews>
  <sheetFormatPr defaultRowHeight="14.5" x14ac:dyDescent="0.35"/>
  <cols>
    <col min="1" max="1" width="15" bestFit="1" customWidth="1"/>
  </cols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19</v>
      </c>
      <c r="B2">
        <v>400</v>
      </c>
      <c r="C2">
        <v>400</v>
      </c>
      <c r="D2">
        <v>400</v>
      </c>
      <c r="E2">
        <v>327.7522584701349</v>
      </c>
      <c r="F2">
        <v>354.68304162068301</v>
      </c>
      <c r="G2">
        <v>365.27289177100761</v>
      </c>
      <c r="H2">
        <v>365.27289177100761</v>
      </c>
      <c r="I2">
        <v>365.27289177100761</v>
      </c>
      <c r="J2">
        <v>327.7522584701349</v>
      </c>
      <c r="K2">
        <v>365.27289177100761</v>
      </c>
      <c r="L2">
        <v>381.93037007226178</v>
      </c>
      <c r="M2">
        <v>381.93037007226178</v>
      </c>
      <c r="N2">
        <v>381.93037007226178</v>
      </c>
      <c r="O2">
        <v>321.20092477057852</v>
      </c>
      <c r="P2">
        <v>256.74950831915783</v>
      </c>
    </row>
    <row r="3" spans="1:16" x14ac:dyDescent="0.35">
      <c r="A3" s="1" t="s">
        <v>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35">
      <c r="A4" s="1" t="s">
        <v>21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6" spans="1:16" x14ac:dyDescent="0.35">
      <c r="A6" s="2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7"/>
  <sheetViews>
    <sheetView tabSelected="1" workbookViewId="0">
      <selection activeCell="B8" sqref="B8"/>
    </sheetView>
  </sheetViews>
  <sheetFormatPr defaultRowHeight="14.5" x14ac:dyDescent="0.35"/>
  <cols>
    <col min="2" max="2" width="11.453125" bestFit="1" customWidth="1"/>
  </cols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19</v>
      </c>
      <c r="B2">
        <v>0</v>
      </c>
      <c r="C2">
        <v>0</v>
      </c>
      <c r="D2">
        <v>0</v>
      </c>
      <c r="E2">
        <v>327.7522584701349</v>
      </c>
      <c r="F2">
        <v>26.930783150548049</v>
      </c>
      <c r="G2">
        <v>10.58985015032459</v>
      </c>
      <c r="H2">
        <v>0</v>
      </c>
      <c r="I2">
        <v>0</v>
      </c>
      <c r="J2">
        <v>290.23162516926232</v>
      </c>
      <c r="K2">
        <v>64.451416451420698</v>
      </c>
      <c r="L2">
        <v>27.24732845157882</v>
      </c>
      <c r="M2">
        <v>0</v>
      </c>
      <c r="N2">
        <v>0</v>
      </c>
      <c r="O2">
        <v>229.502179867579</v>
      </c>
      <c r="P2">
        <v>0</v>
      </c>
    </row>
    <row r="3" spans="1:16" x14ac:dyDescent="0.35">
      <c r="A3" s="1" t="s">
        <v>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35">
      <c r="A4" s="1" t="s">
        <v>21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6" spans="1:16" x14ac:dyDescent="0.35">
      <c r="A6" s="2" t="s">
        <v>68</v>
      </c>
      <c r="B6">
        <f>800*B2</f>
        <v>0</v>
      </c>
      <c r="C6">
        <f t="shared" ref="C6:P6" si="0">800*C2</f>
        <v>0</v>
      </c>
      <c r="D6">
        <f t="shared" si="0"/>
        <v>0</v>
      </c>
      <c r="E6">
        <f t="shared" si="0"/>
        <v>262201.80677610793</v>
      </c>
      <c r="F6">
        <f t="shared" si="0"/>
        <v>21544.62652043844</v>
      </c>
      <c r="G6">
        <f t="shared" si="0"/>
        <v>8471.8801202596715</v>
      </c>
      <c r="H6">
        <f t="shared" si="0"/>
        <v>0</v>
      </c>
      <c r="I6">
        <f t="shared" si="0"/>
        <v>0</v>
      </c>
      <c r="J6">
        <f t="shared" si="0"/>
        <v>232185.30013540987</v>
      </c>
      <c r="K6">
        <f t="shared" si="0"/>
        <v>51561.13316113656</v>
      </c>
      <c r="L6">
        <f t="shared" si="0"/>
        <v>21797.862761263055</v>
      </c>
      <c r="M6">
        <f t="shared" si="0"/>
        <v>0</v>
      </c>
      <c r="N6">
        <f t="shared" si="0"/>
        <v>0</v>
      </c>
      <c r="O6">
        <f t="shared" si="0"/>
        <v>183601.7438940632</v>
      </c>
      <c r="P6">
        <f t="shared" si="0"/>
        <v>0</v>
      </c>
    </row>
    <row r="7" spans="1:16" x14ac:dyDescent="0.35">
      <c r="B7" s="3">
        <f>NPV(0.1,C6:P6)</f>
        <v>408741.75391013426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4"/>
  <sheetViews>
    <sheetView workbookViewId="0"/>
  </sheetViews>
  <sheetFormatPr defaultRowHeight="14.5" x14ac:dyDescent="0.35"/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19</v>
      </c>
      <c r="B2">
        <v>0</v>
      </c>
      <c r="C2">
        <v>0</v>
      </c>
      <c r="D2">
        <v>0</v>
      </c>
      <c r="E2">
        <v>400</v>
      </c>
      <c r="F2">
        <v>0</v>
      </c>
      <c r="G2">
        <v>0</v>
      </c>
      <c r="H2">
        <v>0</v>
      </c>
      <c r="I2">
        <v>0</v>
      </c>
      <c r="J2">
        <v>327.7522584701349</v>
      </c>
      <c r="K2">
        <v>26.930783150548049</v>
      </c>
      <c r="L2">
        <v>10.58985015032459</v>
      </c>
      <c r="M2">
        <v>0</v>
      </c>
      <c r="N2">
        <v>0</v>
      </c>
      <c r="O2">
        <v>290.23162516926232</v>
      </c>
      <c r="P2">
        <v>64.451416451420698</v>
      </c>
    </row>
    <row r="3" spans="1:16" x14ac:dyDescent="0.35">
      <c r="A3" s="1" t="s">
        <v>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35">
      <c r="A4" s="1" t="s">
        <v>21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382.73384166348058</v>
      </c>
      <c r="C2">
        <v>365.27289177100761</v>
      </c>
      <c r="D2">
        <v>354.68304162068301</v>
      </c>
      <c r="E2">
        <v>381.93037007226178</v>
      </c>
      <c r="F2">
        <v>400</v>
      </c>
      <c r="G2">
        <v>400</v>
      </c>
      <c r="H2">
        <v>339.47480211576709</v>
      </c>
      <c r="I2">
        <v>210.47588957040591</v>
      </c>
      <c r="J2">
        <v>181.04590452668629</v>
      </c>
      <c r="K2">
        <v>220.08985104498049</v>
      </c>
      <c r="L2">
        <v>235.76641496998721</v>
      </c>
      <c r="M2">
        <v>230.34623322727271</v>
      </c>
      <c r="N2">
        <v>229.41306359659089</v>
      </c>
      <c r="O2">
        <v>230.0982114216867</v>
      </c>
      <c r="P2">
        <v>231.23299575526951</v>
      </c>
      <c r="Q2">
        <v>222.30568987444951</v>
      </c>
      <c r="R2">
        <v>215.5855378141321</v>
      </c>
      <c r="S2">
        <v>209.02006958624531</v>
      </c>
      <c r="T2">
        <v>223.09584956413141</v>
      </c>
      <c r="U2">
        <v>251.3456529078365</v>
      </c>
      <c r="V2">
        <v>327.7522584701349</v>
      </c>
      <c r="W2">
        <v>349.24096871741301</v>
      </c>
      <c r="X2">
        <v>369.73110067846898</v>
      </c>
      <c r="Y2">
        <v>386.23793865605359</v>
      </c>
    </row>
    <row r="3" spans="1:25" x14ac:dyDescent="0.35">
      <c r="A3" s="1" t="s">
        <v>23</v>
      </c>
      <c r="B3">
        <v>166.53318364986731</v>
      </c>
      <c r="C3">
        <v>172.70849898831571</v>
      </c>
      <c r="D3">
        <v>147.44506556463881</v>
      </c>
      <c r="E3">
        <v>157.64508045540089</v>
      </c>
      <c r="F3">
        <v>145.06921239338391</v>
      </c>
      <c r="G3">
        <v>137.34351716321061</v>
      </c>
      <c r="H3">
        <v>112.23544423649651</v>
      </c>
      <c r="I3">
        <v>99.522379999999998</v>
      </c>
      <c r="J3">
        <v>126.83762666666669</v>
      </c>
      <c r="K3">
        <v>137.84143897435899</v>
      </c>
      <c r="L3">
        <v>138.55437977987421</v>
      </c>
      <c r="M3">
        <v>142.13403392201829</v>
      </c>
      <c r="N3">
        <v>131.34171208333331</v>
      </c>
      <c r="O3">
        <v>142.59624444444441</v>
      </c>
      <c r="P3">
        <v>133.97440741433019</v>
      </c>
      <c r="Q3">
        <v>139.98177408602149</v>
      </c>
      <c r="R3">
        <v>145.67950396396401</v>
      </c>
      <c r="S3">
        <v>171.68317110383779</v>
      </c>
      <c r="T3">
        <v>200.1647286948216</v>
      </c>
      <c r="U3">
        <v>225.94138208097479</v>
      </c>
      <c r="V3">
        <v>232.8005871494253</v>
      </c>
      <c r="W3">
        <v>251.69498316091961</v>
      </c>
      <c r="X3">
        <v>205.7729852034775</v>
      </c>
      <c r="Y3">
        <v>205.68269577730439</v>
      </c>
    </row>
    <row r="4" spans="1:25" x14ac:dyDescent="0.35">
      <c r="A4" s="1" t="s">
        <v>24</v>
      </c>
      <c r="B4">
        <v>179.8319801819373</v>
      </c>
      <c r="C4">
        <v>167.24682109862781</v>
      </c>
      <c r="D4">
        <v>148.61547301821241</v>
      </c>
      <c r="E4">
        <v>146.4339626465692</v>
      </c>
      <c r="F4">
        <v>145.42104802293119</v>
      </c>
      <c r="G4">
        <v>167.99097935845879</v>
      </c>
      <c r="H4">
        <v>162.2271725074396</v>
      </c>
      <c r="I4">
        <v>155.45047492725831</v>
      </c>
      <c r="J4">
        <v>126.9954214393961</v>
      </c>
      <c r="K4">
        <v>129.01325817053541</v>
      </c>
      <c r="L4">
        <v>134.88467628123831</v>
      </c>
      <c r="M4">
        <v>138.92578394760511</v>
      </c>
      <c r="N4">
        <v>127.68554446523321</v>
      </c>
      <c r="O4">
        <v>138.45653845184279</v>
      </c>
      <c r="P4">
        <v>137.72800404914759</v>
      </c>
      <c r="Q4">
        <v>151.50500162944579</v>
      </c>
      <c r="R4">
        <v>177.29339137716951</v>
      </c>
      <c r="S4">
        <v>224.01659803697231</v>
      </c>
      <c r="T4">
        <v>227.94558942828149</v>
      </c>
      <c r="U4">
        <v>286.31902935649089</v>
      </c>
      <c r="V4">
        <v>252.137643323828</v>
      </c>
      <c r="W4">
        <v>286.522998336591</v>
      </c>
      <c r="X4">
        <v>225.70965538903721</v>
      </c>
      <c r="Y4">
        <v>218.58465335209479</v>
      </c>
    </row>
    <row r="5" spans="1:25" x14ac:dyDescent="0.35">
      <c r="A5" s="1" t="s">
        <v>25</v>
      </c>
      <c r="B5">
        <v>382.73384166348058</v>
      </c>
      <c r="C5">
        <v>365.27289177100761</v>
      </c>
      <c r="D5">
        <v>354.68304162068301</v>
      </c>
      <c r="E5">
        <v>381.93037007226178</v>
      </c>
      <c r="F5">
        <v>400</v>
      </c>
      <c r="G5">
        <v>400</v>
      </c>
      <c r="H5">
        <v>339.47480211576709</v>
      </c>
      <c r="I5">
        <v>210.47588957040591</v>
      </c>
      <c r="J5">
        <v>181.04590452668629</v>
      </c>
      <c r="K5">
        <v>220.08985104498049</v>
      </c>
      <c r="L5">
        <v>235.76641496998721</v>
      </c>
      <c r="M5">
        <v>230.34623322727271</v>
      </c>
      <c r="N5">
        <v>229.41306359659089</v>
      </c>
      <c r="O5">
        <v>230.0982114216867</v>
      </c>
      <c r="P5">
        <v>231.23299575526951</v>
      </c>
      <c r="Q5">
        <v>222.30568987444951</v>
      </c>
      <c r="R5">
        <v>215.5855378141321</v>
      </c>
      <c r="S5">
        <v>209.02006958624531</v>
      </c>
      <c r="T5">
        <v>223.09584956413141</v>
      </c>
      <c r="U5">
        <v>251.3456529078365</v>
      </c>
      <c r="V5">
        <v>327.7522584701349</v>
      </c>
      <c r="W5">
        <v>349.24096871741301</v>
      </c>
      <c r="X5">
        <v>369.73110067846898</v>
      </c>
      <c r="Y5">
        <v>386.23793865605359</v>
      </c>
    </row>
    <row r="6" spans="1:25" x14ac:dyDescent="0.35">
      <c r="A6" s="1" t="s">
        <v>26</v>
      </c>
      <c r="B6">
        <v>166.53318364986731</v>
      </c>
      <c r="C6">
        <v>172.70849898831571</v>
      </c>
      <c r="D6">
        <v>147.44506556463881</v>
      </c>
      <c r="E6">
        <v>157.64508045540089</v>
      </c>
      <c r="F6">
        <v>145.06921239338391</v>
      </c>
      <c r="G6">
        <v>137.34351716321061</v>
      </c>
      <c r="H6">
        <v>112.23544423649651</v>
      </c>
      <c r="I6">
        <v>99.522379999999998</v>
      </c>
      <c r="J6">
        <v>126.83762666666669</v>
      </c>
      <c r="K6">
        <v>137.84143897435899</v>
      </c>
      <c r="L6">
        <v>138.55437977987421</v>
      </c>
      <c r="M6">
        <v>142.13403392201829</v>
      </c>
      <c r="N6">
        <v>131.34171208333331</v>
      </c>
      <c r="O6">
        <v>142.59624444444441</v>
      </c>
      <c r="P6">
        <v>133.97440741433019</v>
      </c>
      <c r="Q6">
        <v>139.98177408602149</v>
      </c>
      <c r="R6">
        <v>145.67950396396401</v>
      </c>
      <c r="S6">
        <v>171.68317110383779</v>
      </c>
      <c r="T6">
        <v>200.1647286948216</v>
      </c>
      <c r="U6">
        <v>225.94138208097479</v>
      </c>
      <c r="V6">
        <v>232.8005871494253</v>
      </c>
      <c r="W6">
        <v>251.69498316091961</v>
      </c>
      <c r="X6">
        <v>205.7729852034775</v>
      </c>
      <c r="Y6">
        <v>205.68269577730439</v>
      </c>
    </row>
    <row r="7" spans="1:25" x14ac:dyDescent="0.35">
      <c r="A7" s="1" t="s">
        <v>27</v>
      </c>
      <c r="B7">
        <v>179.8319801819373</v>
      </c>
      <c r="C7">
        <v>167.24682109862781</v>
      </c>
      <c r="D7">
        <v>148.61547301821241</v>
      </c>
      <c r="E7">
        <v>146.4339626465692</v>
      </c>
      <c r="F7">
        <v>145.42104802293119</v>
      </c>
      <c r="G7">
        <v>167.99097935845879</v>
      </c>
      <c r="H7">
        <v>162.2271725074396</v>
      </c>
      <c r="I7">
        <v>155.45047492725831</v>
      </c>
      <c r="J7">
        <v>126.9954214393961</v>
      </c>
      <c r="K7">
        <v>129.01325817053541</v>
      </c>
      <c r="L7">
        <v>134.88467628123831</v>
      </c>
      <c r="M7">
        <v>138.92578394760511</v>
      </c>
      <c r="N7">
        <v>127.68554446523321</v>
      </c>
      <c r="O7">
        <v>138.45653845184279</v>
      </c>
      <c r="P7">
        <v>137.72800404914759</v>
      </c>
      <c r="Q7">
        <v>151.50500162944579</v>
      </c>
      <c r="R7">
        <v>177.29339137716951</v>
      </c>
      <c r="S7">
        <v>224.01659803697231</v>
      </c>
      <c r="T7">
        <v>227.94558942828149</v>
      </c>
      <c r="U7">
        <v>286.31902935649089</v>
      </c>
      <c r="V7">
        <v>252.137643323828</v>
      </c>
      <c r="W7">
        <v>286.522998336591</v>
      </c>
      <c r="X7">
        <v>225.70965538903721</v>
      </c>
      <c r="Y7">
        <v>218.58465335209479</v>
      </c>
    </row>
    <row r="8" spans="1:25" x14ac:dyDescent="0.35">
      <c r="A8" s="1" t="s">
        <v>28</v>
      </c>
      <c r="B8">
        <v>382.73384166348058</v>
      </c>
      <c r="C8">
        <v>365.27289177100761</v>
      </c>
      <c r="D8">
        <v>354.68304162068301</v>
      </c>
      <c r="E8">
        <v>381.93037007226178</v>
      </c>
      <c r="F8">
        <v>400</v>
      </c>
      <c r="G8">
        <v>400</v>
      </c>
      <c r="H8">
        <v>339.47480211576709</v>
      </c>
      <c r="I8">
        <v>210.47588957040591</v>
      </c>
      <c r="J8">
        <v>181.04590452668629</v>
      </c>
      <c r="K8">
        <v>220.08985104498049</v>
      </c>
      <c r="L8">
        <v>235.76641496998721</v>
      </c>
      <c r="M8">
        <v>230.34623322727271</v>
      </c>
      <c r="N8">
        <v>229.41306359659089</v>
      </c>
      <c r="O8">
        <v>230.0982114216867</v>
      </c>
      <c r="P8">
        <v>231.23299575526951</v>
      </c>
      <c r="Q8">
        <v>222.30568987444951</v>
      </c>
      <c r="R8">
        <v>215.5855378141321</v>
      </c>
      <c r="S8">
        <v>209.02006958624531</v>
      </c>
      <c r="T8">
        <v>223.09584956413141</v>
      </c>
      <c r="U8">
        <v>251.3456529078365</v>
      </c>
      <c r="V8">
        <v>327.7522584701349</v>
      </c>
      <c r="W8">
        <v>349.24096871741301</v>
      </c>
      <c r="X8">
        <v>369.73110067846898</v>
      </c>
      <c r="Y8">
        <v>386.23793865605359</v>
      </c>
    </row>
    <row r="9" spans="1:25" x14ac:dyDescent="0.35">
      <c r="A9" s="1" t="s">
        <v>29</v>
      </c>
      <c r="B9">
        <v>166.53318364986731</v>
      </c>
      <c r="C9">
        <v>172.70849898831571</v>
      </c>
      <c r="D9">
        <v>147.44506556463881</v>
      </c>
      <c r="E9">
        <v>157.64508045540089</v>
      </c>
      <c r="F9">
        <v>145.06921239338391</v>
      </c>
      <c r="G9">
        <v>137.34351716321061</v>
      </c>
      <c r="H9">
        <v>112.23544423649651</v>
      </c>
      <c r="I9">
        <v>99.522379999999998</v>
      </c>
      <c r="J9">
        <v>126.83762666666669</v>
      </c>
      <c r="K9">
        <v>137.84143897435899</v>
      </c>
      <c r="L9">
        <v>138.55437977987421</v>
      </c>
      <c r="M9">
        <v>142.13403392201829</v>
      </c>
      <c r="N9">
        <v>131.34171208333331</v>
      </c>
      <c r="O9">
        <v>142.59624444444441</v>
      </c>
      <c r="P9">
        <v>133.97440741433019</v>
      </c>
      <c r="Q9">
        <v>139.98177408602149</v>
      </c>
      <c r="R9">
        <v>145.67950396396401</v>
      </c>
      <c r="S9">
        <v>171.68317110383779</v>
      </c>
      <c r="T9">
        <v>200.1647286948216</v>
      </c>
      <c r="U9">
        <v>225.94138208097479</v>
      </c>
      <c r="V9">
        <v>232.8005871494253</v>
      </c>
      <c r="W9">
        <v>251.69498316091961</v>
      </c>
      <c r="X9">
        <v>205.7729852034775</v>
      </c>
      <c r="Y9">
        <v>205.68269577730439</v>
      </c>
    </row>
    <row r="10" spans="1:25" x14ac:dyDescent="0.35">
      <c r="A10" s="1" t="s">
        <v>30</v>
      </c>
      <c r="B10">
        <v>179.8319801819373</v>
      </c>
      <c r="C10">
        <v>167.24682109862781</v>
      </c>
      <c r="D10">
        <v>148.61547301821241</v>
      </c>
      <c r="E10">
        <v>146.4339626465692</v>
      </c>
      <c r="F10">
        <v>145.42104802293119</v>
      </c>
      <c r="G10">
        <v>167.99097935845879</v>
      </c>
      <c r="H10">
        <v>162.2271725074396</v>
      </c>
      <c r="I10">
        <v>155.45047492725831</v>
      </c>
      <c r="J10">
        <v>126.9954214393961</v>
      </c>
      <c r="K10">
        <v>129.01325817053541</v>
      </c>
      <c r="L10">
        <v>134.88467628123831</v>
      </c>
      <c r="M10">
        <v>138.92578394760511</v>
      </c>
      <c r="N10">
        <v>127.68554446523321</v>
      </c>
      <c r="O10">
        <v>138.45653845184279</v>
      </c>
      <c r="P10">
        <v>137.72800404914759</v>
      </c>
      <c r="Q10">
        <v>151.50500162944579</v>
      </c>
      <c r="R10">
        <v>177.29339137716951</v>
      </c>
      <c r="S10">
        <v>224.01659803697231</v>
      </c>
      <c r="T10">
        <v>227.94558942828149</v>
      </c>
      <c r="U10">
        <v>286.31902935649089</v>
      </c>
      <c r="V10">
        <v>252.137643323828</v>
      </c>
      <c r="W10">
        <v>286.522998336591</v>
      </c>
      <c r="X10">
        <v>225.70965538903721</v>
      </c>
      <c r="Y10">
        <v>218.58465335209479</v>
      </c>
    </row>
    <row r="11" spans="1:25" x14ac:dyDescent="0.35">
      <c r="A11" s="1" t="s">
        <v>31</v>
      </c>
      <c r="B11">
        <v>327.7522584701349</v>
      </c>
      <c r="C11">
        <v>327.7522584701349</v>
      </c>
      <c r="D11">
        <v>327.7522584701349</v>
      </c>
      <c r="E11">
        <v>327.7522584701349</v>
      </c>
      <c r="F11">
        <v>327.7522584701349</v>
      </c>
      <c r="G11">
        <v>327.7522584701349</v>
      </c>
      <c r="H11">
        <v>327.7522584701349</v>
      </c>
      <c r="I11">
        <v>210.47588957040591</v>
      </c>
      <c r="J11">
        <v>181.04590452668629</v>
      </c>
      <c r="K11">
        <v>220.08985104498049</v>
      </c>
      <c r="L11">
        <v>235.76641496998721</v>
      </c>
      <c r="M11">
        <v>230.34623322727271</v>
      </c>
      <c r="N11">
        <v>229.41306359659089</v>
      </c>
      <c r="O11">
        <v>230.0982114216867</v>
      </c>
      <c r="P11">
        <v>231.23299575526951</v>
      </c>
      <c r="Q11">
        <v>222.30568987444951</v>
      </c>
      <c r="R11">
        <v>215.5855378141321</v>
      </c>
      <c r="S11">
        <v>209.02006958624531</v>
      </c>
      <c r="T11">
        <v>223.09584956413141</v>
      </c>
      <c r="U11">
        <v>251.3456529078365</v>
      </c>
      <c r="V11">
        <v>327.7522584701349</v>
      </c>
      <c r="W11">
        <v>327.7522584701349</v>
      </c>
      <c r="X11">
        <v>327.7522584701349</v>
      </c>
      <c r="Y11">
        <v>327.7522584701349</v>
      </c>
    </row>
    <row r="12" spans="1:25" x14ac:dyDescent="0.35">
      <c r="A12" s="1" t="s">
        <v>32</v>
      </c>
      <c r="B12">
        <v>166.53318364986731</v>
      </c>
      <c r="C12">
        <v>172.70849898831571</v>
      </c>
      <c r="D12">
        <v>147.44506556463881</v>
      </c>
      <c r="E12">
        <v>157.64508045540089</v>
      </c>
      <c r="F12">
        <v>145.06921239338391</v>
      </c>
      <c r="G12">
        <v>137.34351716321061</v>
      </c>
      <c r="H12">
        <v>112.23544423649651</v>
      </c>
      <c r="I12">
        <v>99.522379999999998</v>
      </c>
      <c r="J12">
        <v>126.83762666666669</v>
      </c>
      <c r="K12">
        <v>137.84143897435899</v>
      </c>
      <c r="L12">
        <v>138.55437977987421</v>
      </c>
      <c r="M12">
        <v>142.13403392201829</v>
      </c>
      <c r="N12">
        <v>131.34171208333331</v>
      </c>
      <c r="O12">
        <v>142.59624444444441</v>
      </c>
      <c r="P12">
        <v>133.97440741433019</v>
      </c>
      <c r="Q12">
        <v>139.98177408602149</v>
      </c>
      <c r="R12">
        <v>145.67950396396401</v>
      </c>
      <c r="S12">
        <v>171.68317110383779</v>
      </c>
      <c r="T12">
        <v>200.1647286948216</v>
      </c>
      <c r="U12">
        <v>225.94138208097479</v>
      </c>
      <c r="V12">
        <v>232.8005871494253</v>
      </c>
      <c r="W12">
        <v>251.69498316091961</v>
      </c>
      <c r="X12">
        <v>205.7729852034775</v>
      </c>
      <c r="Y12">
        <v>205.68269577730439</v>
      </c>
    </row>
    <row r="13" spans="1:25" x14ac:dyDescent="0.35">
      <c r="A13" s="1" t="s">
        <v>33</v>
      </c>
      <c r="B13">
        <v>179.8319801819373</v>
      </c>
      <c r="C13">
        <v>167.24682109862781</v>
      </c>
      <c r="D13">
        <v>148.61547301821241</v>
      </c>
      <c r="E13">
        <v>146.4339626465692</v>
      </c>
      <c r="F13">
        <v>145.42104802293119</v>
      </c>
      <c r="G13">
        <v>167.99097935845879</v>
      </c>
      <c r="H13">
        <v>162.2271725074396</v>
      </c>
      <c r="I13">
        <v>155.45047492725831</v>
      </c>
      <c r="J13">
        <v>126.9954214393961</v>
      </c>
      <c r="K13">
        <v>129.01325817053541</v>
      </c>
      <c r="L13">
        <v>134.88467628123831</v>
      </c>
      <c r="M13">
        <v>138.92578394760511</v>
      </c>
      <c r="N13">
        <v>127.68554446523321</v>
      </c>
      <c r="O13">
        <v>138.45653845184279</v>
      </c>
      <c r="P13">
        <v>137.72800404914759</v>
      </c>
      <c r="Q13">
        <v>151.50500162944579</v>
      </c>
      <c r="R13">
        <v>177.29339137716951</v>
      </c>
      <c r="S13">
        <v>224.01659803697231</v>
      </c>
      <c r="T13">
        <v>227.94558942828149</v>
      </c>
      <c r="U13">
        <v>286.31902935649089</v>
      </c>
      <c r="V13">
        <v>252.137643323828</v>
      </c>
      <c r="W13">
        <v>286.522998336591</v>
      </c>
      <c r="X13">
        <v>225.70965538903721</v>
      </c>
      <c r="Y13">
        <v>218.58465335209479</v>
      </c>
    </row>
    <row r="14" spans="1:25" x14ac:dyDescent="0.35">
      <c r="A14" s="1" t="s">
        <v>34</v>
      </c>
      <c r="B14">
        <v>354.68304162068301</v>
      </c>
      <c r="C14">
        <v>354.68304162068301</v>
      </c>
      <c r="D14">
        <v>354.68304162068301</v>
      </c>
      <c r="E14">
        <v>354.68304162068301</v>
      </c>
      <c r="F14">
        <v>354.68304162068301</v>
      </c>
      <c r="G14">
        <v>354.68304162068301</v>
      </c>
      <c r="H14">
        <v>339.47480211576709</v>
      </c>
      <c r="I14">
        <v>210.47588957040591</v>
      </c>
      <c r="J14">
        <v>181.04590452668629</v>
      </c>
      <c r="K14">
        <v>220.08985104498049</v>
      </c>
      <c r="L14">
        <v>235.76641496998721</v>
      </c>
      <c r="M14">
        <v>230.34623322727271</v>
      </c>
      <c r="N14">
        <v>229.41306359659089</v>
      </c>
      <c r="O14">
        <v>230.0982114216867</v>
      </c>
      <c r="P14">
        <v>231.23299575526951</v>
      </c>
      <c r="Q14">
        <v>222.30568987444951</v>
      </c>
      <c r="R14">
        <v>215.5855378141321</v>
      </c>
      <c r="S14">
        <v>209.02006958624531</v>
      </c>
      <c r="T14">
        <v>223.09584956413141</v>
      </c>
      <c r="U14">
        <v>251.3456529078365</v>
      </c>
      <c r="V14">
        <v>327.7522584701349</v>
      </c>
      <c r="W14">
        <v>349.24096871741301</v>
      </c>
      <c r="X14">
        <v>354.68304162068301</v>
      </c>
      <c r="Y14">
        <v>354.68304162068301</v>
      </c>
    </row>
    <row r="15" spans="1:25" x14ac:dyDescent="0.35">
      <c r="A15" s="1" t="s">
        <v>35</v>
      </c>
      <c r="B15">
        <v>166.53318364986731</v>
      </c>
      <c r="C15">
        <v>172.70849898831571</v>
      </c>
      <c r="D15">
        <v>147.44506556463881</v>
      </c>
      <c r="E15">
        <v>157.64508045540089</v>
      </c>
      <c r="F15">
        <v>145.06921239338391</v>
      </c>
      <c r="G15">
        <v>137.34351716321061</v>
      </c>
      <c r="H15">
        <v>112.23544423649651</v>
      </c>
      <c r="I15">
        <v>99.522379999999998</v>
      </c>
      <c r="J15">
        <v>126.83762666666669</v>
      </c>
      <c r="K15">
        <v>137.84143897435899</v>
      </c>
      <c r="L15">
        <v>138.55437977987421</v>
      </c>
      <c r="M15">
        <v>142.13403392201829</v>
      </c>
      <c r="N15">
        <v>131.34171208333331</v>
      </c>
      <c r="O15">
        <v>142.59624444444441</v>
      </c>
      <c r="P15">
        <v>133.97440741433019</v>
      </c>
      <c r="Q15">
        <v>139.98177408602149</v>
      </c>
      <c r="R15">
        <v>145.67950396396401</v>
      </c>
      <c r="S15">
        <v>171.68317110383779</v>
      </c>
      <c r="T15">
        <v>200.1647286948216</v>
      </c>
      <c r="U15">
        <v>225.94138208097479</v>
      </c>
      <c r="V15">
        <v>232.8005871494253</v>
      </c>
      <c r="W15">
        <v>251.69498316091961</v>
      </c>
      <c r="X15">
        <v>205.7729852034775</v>
      </c>
      <c r="Y15">
        <v>205.68269577730439</v>
      </c>
    </row>
    <row r="16" spans="1:25" x14ac:dyDescent="0.35">
      <c r="A16" s="1" t="s">
        <v>36</v>
      </c>
      <c r="B16">
        <v>179.8319801819373</v>
      </c>
      <c r="C16">
        <v>167.24682109862781</v>
      </c>
      <c r="D16">
        <v>148.61547301821241</v>
      </c>
      <c r="E16">
        <v>146.4339626465692</v>
      </c>
      <c r="F16">
        <v>145.42104802293119</v>
      </c>
      <c r="G16">
        <v>167.99097935845879</v>
      </c>
      <c r="H16">
        <v>162.2271725074396</v>
      </c>
      <c r="I16">
        <v>155.45047492725831</v>
      </c>
      <c r="J16">
        <v>126.9954214393961</v>
      </c>
      <c r="K16">
        <v>129.01325817053541</v>
      </c>
      <c r="L16">
        <v>134.88467628123831</v>
      </c>
      <c r="M16">
        <v>138.92578394760511</v>
      </c>
      <c r="N16">
        <v>127.68554446523321</v>
      </c>
      <c r="O16">
        <v>138.45653845184279</v>
      </c>
      <c r="P16">
        <v>137.72800404914759</v>
      </c>
      <c r="Q16">
        <v>151.50500162944579</v>
      </c>
      <c r="R16">
        <v>177.29339137716951</v>
      </c>
      <c r="S16">
        <v>224.01659803697231</v>
      </c>
      <c r="T16">
        <v>227.94558942828149</v>
      </c>
      <c r="U16">
        <v>286.31902935649089</v>
      </c>
      <c r="V16">
        <v>252.137643323828</v>
      </c>
      <c r="W16">
        <v>286.522998336591</v>
      </c>
      <c r="X16">
        <v>225.70965538903721</v>
      </c>
      <c r="Y16">
        <v>218.58465335209479</v>
      </c>
    </row>
    <row r="17" spans="1:25" x14ac:dyDescent="0.35">
      <c r="A17" s="1" t="s">
        <v>37</v>
      </c>
      <c r="B17">
        <v>365.27289177100761</v>
      </c>
      <c r="C17">
        <v>365.27289177100761</v>
      </c>
      <c r="D17">
        <v>354.68304162068301</v>
      </c>
      <c r="E17">
        <v>365.27289177100761</v>
      </c>
      <c r="F17">
        <v>365.27289177100761</v>
      </c>
      <c r="G17">
        <v>365.27289177100761</v>
      </c>
      <c r="H17">
        <v>339.47480211576709</v>
      </c>
      <c r="I17">
        <v>210.47588957040591</v>
      </c>
      <c r="J17">
        <v>181.04590452668629</v>
      </c>
      <c r="K17">
        <v>220.08985104498049</v>
      </c>
      <c r="L17">
        <v>235.76641496998721</v>
      </c>
      <c r="M17">
        <v>230.34623322727271</v>
      </c>
      <c r="N17">
        <v>229.41306359659089</v>
      </c>
      <c r="O17">
        <v>230.0982114216867</v>
      </c>
      <c r="P17">
        <v>231.23299575526951</v>
      </c>
      <c r="Q17">
        <v>222.30568987444951</v>
      </c>
      <c r="R17">
        <v>215.5855378141321</v>
      </c>
      <c r="S17">
        <v>209.02006958624531</v>
      </c>
      <c r="T17">
        <v>223.09584956413141</v>
      </c>
      <c r="U17">
        <v>251.3456529078365</v>
      </c>
      <c r="V17">
        <v>327.7522584701349</v>
      </c>
      <c r="W17">
        <v>349.24096871741301</v>
      </c>
      <c r="X17">
        <v>365.27289177100761</v>
      </c>
      <c r="Y17">
        <v>365.27289177100761</v>
      </c>
    </row>
    <row r="18" spans="1:25" x14ac:dyDescent="0.35">
      <c r="A18" s="1" t="s">
        <v>38</v>
      </c>
      <c r="B18">
        <v>166.53318364986731</v>
      </c>
      <c r="C18">
        <v>172.70849898831571</v>
      </c>
      <c r="D18">
        <v>147.44506556463881</v>
      </c>
      <c r="E18">
        <v>157.64508045540089</v>
      </c>
      <c r="F18">
        <v>145.06921239338391</v>
      </c>
      <c r="G18">
        <v>137.34351716321061</v>
      </c>
      <c r="H18">
        <v>112.23544423649651</v>
      </c>
      <c r="I18">
        <v>99.522379999999998</v>
      </c>
      <c r="J18">
        <v>126.83762666666669</v>
      </c>
      <c r="K18">
        <v>137.84143897435899</v>
      </c>
      <c r="L18">
        <v>138.55437977987421</v>
      </c>
      <c r="M18">
        <v>142.13403392201829</v>
      </c>
      <c r="N18">
        <v>131.34171208333331</v>
      </c>
      <c r="O18">
        <v>142.59624444444441</v>
      </c>
      <c r="P18">
        <v>133.97440741433019</v>
      </c>
      <c r="Q18">
        <v>139.98177408602149</v>
      </c>
      <c r="R18">
        <v>145.67950396396401</v>
      </c>
      <c r="S18">
        <v>171.68317110383779</v>
      </c>
      <c r="T18">
        <v>200.1647286948216</v>
      </c>
      <c r="U18">
        <v>225.94138208097479</v>
      </c>
      <c r="V18">
        <v>232.8005871494253</v>
      </c>
      <c r="W18">
        <v>251.69498316091961</v>
      </c>
      <c r="X18">
        <v>205.7729852034775</v>
      </c>
      <c r="Y18">
        <v>205.68269577730439</v>
      </c>
    </row>
    <row r="19" spans="1:25" x14ac:dyDescent="0.35">
      <c r="A19" s="1" t="s">
        <v>39</v>
      </c>
      <c r="B19">
        <v>179.8319801819373</v>
      </c>
      <c r="C19">
        <v>167.24682109862781</v>
      </c>
      <c r="D19">
        <v>148.61547301821241</v>
      </c>
      <c r="E19">
        <v>146.4339626465692</v>
      </c>
      <c r="F19">
        <v>145.42104802293119</v>
      </c>
      <c r="G19">
        <v>167.99097935845879</v>
      </c>
      <c r="H19">
        <v>162.2271725074396</v>
      </c>
      <c r="I19">
        <v>155.45047492725831</v>
      </c>
      <c r="J19">
        <v>126.9954214393961</v>
      </c>
      <c r="K19">
        <v>129.01325817053541</v>
      </c>
      <c r="L19">
        <v>134.88467628123831</v>
      </c>
      <c r="M19">
        <v>138.92578394760511</v>
      </c>
      <c r="N19">
        <v>127.68554446523321</v>
      </c>
      <c r="O19">
        <v>138.45653845184279</v>
      </c>
      <c r="P19">
        <v>137.72800404914759</v>
      </c>
      <c r="Q19">
        <v>151.50500162944579</v>
      </c>
      <c r="R19">
        <v>177.29339137716951</v>
      </c>
      <c r="S19">
        <v>224.01659803697231</v>
      </c>
      <c r="T19">
        <v>227.94558942828149</v>
      </c>
      <c r="U19">
        <v>286.31902935649089</v>
      </c>
      <c r="V19">
        <v>252.137643323828</v>
      </c>
      <c r="W19">
        <v>286.522998336591</v>
      </c>
      <c r="X19">
        <v>225.70965538903721</v>
      </c>
      <c r="Y19">
        <v>218.58465335209479</v>
      </c>
    </row>
    <row r="20" spans="1:25" x14ac:dyDescent="0.35">
      <c r="A20" s="1" t="s">
        <v>40</v>
      </c>
      <c r="B20">
        <v>365.27289177100761</v>
      </c>
      <c r="C20">
        <v>365.27289177100761</v>
      </c>
      <c r="D20">
        <v>354.68304162068301</v>
      </c>
      <c r="E20">
        <v>365.27289177100761</v>
      </c>
      <c r="F20">
        <v>365.27289177100761</v>
      </c>
      <c r="G20">
        <v>365.27289177100761</v>
      </c>
      <c r="H20">
        <v>339.47480211576709</v>
      </c>
      <c r="I20">
        <v>210.47588957040591</v>
      </c>
      <c r="J20">
        <v>181.04590452668629</v>
      </c>
      <c r="K20">
        <v>220.08985104498049</v>
      </c>
      <c r="L20">
        <v>235.76641496998721</v>
      </c>
      <c r="M20">
        <v>230.34623322727271</v>
      </c>
      <c r="N20">
        <v>229.41306359659089</v>
      </c>
      <c r="O20">
        <v>230.0982114216867</v>
      </c>
      <c r="P20">
        <v>231.23299575526951</v>
      </c>
      <c r="Q20">
        <v>222.30568987444951</v>
      </c>
      <c r="R20">
        <v>215.5855378141321</v>
      </c>
      <c r="S20">
        <v>209.02006958624531</v>
      </c>
      <c r="T20">
        <v>223.09584956413141</v>
      </c>
      <c r="U20">
        <v>251.3456529078365</v>
      </c>
      <c r="V20">
        <v>327.7522584701349</v>
      </c>
      <c r="W20">
        <v>349.24096871741301</v>
      </c>
      <c r="X20">
        <v>365.27289177100761</v>
      </c>
      <c r="Y20">
        <v>365.27289177100761</v>
      </c>
    </row>
    <row r="21" spans="1:25" x14ac:dyDescent="0.35">
      <c r="A21" s="1" t="s">
        <v>41</v>
      </c>
      <c r="B21">
        <v>166.53318364986731</v>
      </c>
      <c r="C21">
        <v>172.70849898831571</v>
      </c>
      <c r="D21">
        <v>147.44506556463881</v>
      </c>
      <c r="E21">
        <v>157.64508045540089</v>
      </c>
      <c r="F21">
        <v>145.06921239338391</v>
      </c>
      <c r="G21">
        <v>137.34351716321061</v>
      </c>
      <c r="H21">
        <v>112.23544423649651</v>
      </c>
      <c r="I21">
        <v>99.522379999999998</v>
      </c>
      <c r="J21">
        <v>126.83762666666669</v>
      </c>
      <c r="K21">
        <v>137.84143897435899</v>
      </c>
      <c r="L21">
        <v>138.55437977987421</v>
      </c>
      <c r="M21">
        <v>142.13403392201829</v>
      </c>
      <c r="N21">
        <v>131.34171208333331</v>
      </c>
      <c r="O21">
        <v>142.59624444444441</v>
      </c>
      <c r="P21">
        <v>133.97440741433019</v>
      </c>
      <c r="Q21">
        <v>139.98177408602149</v>
      </c>
      <c r="R21">
        <v>145.67950396396401</v>
      </c>
      <c r="S21">
        <v>171.68317110383779</v>
      </c>
      <c r="T21">
        <v>200.1647286948216</v>
      </c>
      <c r="U21">
        <v>225.94138208097479</v>
      </c>
      <c r="V21">
        <v>232.8005871494253</v>
      </c>
      <c r="W21">
        <v>251.69498316091961</v>
      </c>
      <c r="X21">
        <v>205.7729852034775</v>
      </c>
      <c r="Y21">
        <v>205.68269577730439</v>
      </c>
    </row>
    <row r="22" spans="1:25" x14ac:dyDescent="0.35">
      <c r="A22" s="1" t="s">
        <v>42</v>
      </c>
      <c r="B22">
        <v>179.8319801819373</v>
      </c>
      <c r="C22">
        <v>167.24682109862781</v>
      </c>
      <c r="D22">
        <v>148.61547301821241</v>
      </c>
      <c r="E22">
        <v>146.4339626465692</v>
      </c>
      <c r="F22">
        <v>145.42104802293119</v>
      </c>
      <c r="G22">
        <v>167.99097935845879</v>
      </c>
      <c r="H22">
        <v>162.2271725074396</v>
      </c>
      <c r="I22">
        <v>155.45047492725831</v>
      </c>
      <c r="J22">
        <v>126.9954214393961</v>
      </c>
      <c r="K22">
        <v>129.01325817053541</v>
      </c>
      <c r="L22">
        <v>134.88467628123831</v>
      </c>
      <c r="M22">
        <v>138.92578394760511</v>
      </c>
      <c r="N22">
        <v>127.68554446523321</v>
      </c>
      <c r="O22">
        <v>138.45653845184279</v>
      </c>
      <c r="P22">
        <v>137.72800404914759</v>
      </c>
      <c r="Q22">
        <v>151.50500162944579</v>
      </c>
      <c r="R22">
        <v>177.29339137716951</v>
      </c>
      <c r="S22">
        <v>224.01659803697231</v>
      </c>
      <c r="T22">
        <v>227.94558942828149</v>
      </c>
      <c r="U22">
        <v>286.31902935649089</v>
      </c>
      <c r="V22">
        <v>252.137643323828</v>
      </c>
      <c r="W22">
        <v>286.522998336591</v>
      </c>
      <c r="X22">
        <v>225.70965538903721</v>
      </c>
      <c r="Y22">
        <v>218.58465335209479</v>
      </c>
    </row>
    <row r="23" spans="1:25" x14ac:dyDescent="0.35">
      <c r="A23" s="1" t="s">
        <v>43</v>
      </c>
      <c r="B23">
        <v>365.27289177100761</v>
      </c>
      <c r="C23">
        <v>365.27289177100761</v>
      </c>
      <c r="D23">
        <v>354.68304162068301</v>
      </c>
      <c r="E23">
        <v>365.27289177100761</v>
      </c>
      <c r="F23">
        <v>365.27289177100761</v>
      </c>
      <c r="G23">
        <v>365.27289177100761</v>
      </c>
      <c r="H23">
        <v>339.47480211576709</v>
      </c>
      <c r="I23">
        <v>210.47588957040591</v>
      </c>
      <c r="J23">
        <v>181.04590452668629</v>
      </c>
      <c r="K23">
        <v>220.08985104498049</v>
      </c>
      <c r="L23">
        <v>235.76641496998721</v>
      </c>
      <c r="M23">
        <v>230.34623322727271</v>
      </c>
      <c r="N23">
        <v>229.41306359659089</v>
      </c>
      <c r="O23">
        <v>230.0982114216867</v>
      </c>
      <c r="P23">
        <v>231.23299575526951</v>
      </c>
      <c r="Q23">
        <v>222.30568987444951</v>
      </c>
      <c r="R23">
        <v>215.5855378141321</v>
      </c>
      <c r="S23">
        <v>209.02006958624531</v>
      </c>
      <c r="T23">
        <v>223.09584956413141</v>
      </c>
      <c r="U23">
        <v>251.3456529078365</v>
      </c>
      <c r="V23">
        <v>327.7522584701349</v>
      </c>
      <c r="W23">
        <v>349.24096871741301</v>
      </c>
      <c r="X23">
        <v>365.27289177100761</v>
      </c>
      <c r="Y23">
        <v>365.27289177100761</v>
      </c>
    </row>
    <row r="24" spans="1:25" x14ac:dyDescent="0.35">
      <c r="A24" s="1" t="s">
        <v>44</v>
      </c>
      <c r="B24">
        <v>166.53318364986731</v>
      </c>
      <c r="C24">
        <v>172.70849898831571</v>
      </c>
      <c r="D24">
        <v>147.44506556463881</v>
      </c>
      <c r="E24">
        <v>157.64508045540089</v>
      </c>
      <c r="F24">
        <v>145.06921239338391</v>
      </c>
      <c r="G24">
        <v>137.34351716321061</v>
      </c>
      <c r="H24">
        <v>112.23544423649651</v>
      </c>
      <c r="I24">
        <v>99.522379999999998</v>
      </c>
      <c r="J24">
        <v>126.83762666666669</v>
      </c>
      <c r="K24">
        <v>137.84143897435899</v>
      </c>
      <c r="L24">
        <v>138.55437977987421</v>
      </c>
      <c r="M24">
        <v>142.13403392201829</v>
      </c>
      <c r="N24">
        <v>131.34171208333331</v>
      </c>
      <c r="O24">
        <v>142.59624444444441</v>
      </c>
      <c r="P24">
        <v>133.97440741433019</v>
      </c>
      <c r="Q24">
        <v>139.98177408602149</v>
      </c>
      <c r="R24">
        <v>145.67950396396401</v>
      </c>
      <c r="S24">
        <v>171.68317110383779</v>
      </c>
      <c r="T24">
        <v>200.1647286948216</v>
      </c>
      <c r="U24">
        <v>225.94138208097479</v>
      </c>
      <c r="V24">
        <v>232.8005871494253</v>
      </c>
      <c r="W24">
        <v>251.69498316091961</v>
      </c>
      <c r="X24">
        <v>205.7729852034775</v>
      </c>
      <c r="Y24">
        <v>205.68269577730439</v>
      </c>
    </row>
    <row r="25" spans="1:25" x14ac:dyDescent="0.35">
      <c r="A25" s="1" t="s">
        <v>45</v>
      </c>
      <c r="B25">
        <v>179.8319801819373</v>
      </c>
      <c r="C25">
        <v>167.24682109862781</v>
      </c>
      <c r="D25">
        <v>148.61547301821241</v>
      </c>
      <c r="E25">
        <v>146.4339626465692</v>
      </c>
      <c r="F25">
        <v>145.42104802293119</v>
      </c>
      <c r="G25">
        <v>167.99097935845879</v>
      </c>
      <c r="H25">
        <v>162.2271725074396</v>
      </c>
      <c r="I25">
        <v>155.45047492725831</v>
      </c>
      <c r="J25">
        <v>126.9954214393961</v>
      </c>
      <c r="K25">
        <v>129.01325817053541</v>
      </c>
      <c r="L25">
        <v>134.88467628123831</v>
      </c>
      <c r="M25">
        <v>138.92578394760511</v>
      </c>
      <c r="N25">
        <v>127.68554446523321</v>
      </c>
      <c r="O25">
        <v>138.45653845184279</v>
      </c>
      <c r="P25">
        <v>137.72800404914759</v>
      </c>
      <c r="Q25">
        <v>151.50500162944579</v>
      </c>
      <c r="R25">
        <v>177.29339137716951</v>
      </c>
      <c r="S25">
        <v>224.01659803697231</v>
      </c>
      <c r="T25">
        <v>227.94558942828149</v>
      </c>
      <c r="U25">
        <v>286.31902935649089</v>
      </c>
      <c r="V25">
        <v>252.137643323828</v>
      </c>
      <c r="W25">
        <v>286.522998336591</v>
      </c>
      <c r="X25">
        <v>225.70965538903721</v>
      </c>
      <c r="Y25">
        <v>218.58465335209479</v>
      </c>
    </row>
    <row r="26" spans="1:25" x14ac:dyDescent="0.35">
      <c r="A26" s="1" t="s">
        <v>46</v>
      </c>
      <c r="B26">
        <v>327.7522584701349</v>
      </c>
      <c r="C26">
        <v>327.7522584701349</v>
      </c>
      <c r="D26">
        <v>327.7522584701349</v>
      </c>
      <c r="E26">
        <v>327.7522584701349</v>
      </c>
      <c r="F26">
        <v>327.7522584701349</v>
      </c>
      <c r="G26">
        <v>327.7522584701349</v>
      </c>
      <c r="H26">
        <v>327.7522584701349</v>
      </c>
      <c r="I26">
        <v>210.47588957040591</v>
      </c>
      <c r="J26">
        <v>181.04590452668629</v>
      </c>
      <c r="K26">
        <v>220.08985104498049</v>
      </c>
      <c r="L26">
        <v>235.76641496998721</v>
      </c>
      <c r="M26">
        <v>230.34623322727271</v>
      </c>
      <c r="N26">
        <v>229.41306359659089</v>
      </c>
      <c r="O26">
        <v>230.0982114216867</v>
      </c>
      <c r="P26">
        <v>231.23299575526951</v>
      </c>
      <c r="Q26">
        <v>222.30568987444951</v>
      </c>
      <c r="R26">
        <v>215.5855378141321</v>
      </c>
      <c r="S26">
        <v>209.02006958624531</v>
      </c>
      <c r="T26">
        <v>223.09584956413141</v>
      </c>
      <c r="U26">
        <v>251.3456529078365</v>
      </c>
      <c r="V26">
        <v>327.7522584701349</v>
      </c>
      <c r="W26">
        <v>327.7522584701349</v>
      </c>
      <c r="X26">
        <v>327.7522584701349</v>
      </c>
      <c r="Y26">
        <v>327.7522584701349</v>
      </c>
    </row>
    <row r="27" spans="1:25" x14ac:dyDescent="0.35">
      <c r="A27" s="1" t="s">
        <v>47</v>
      </c>
      <c r="B27">
        <v>166.53318364986731</v>
      </c>
      <c r="C27">
        <v>172.70849898831571</v>
      </c>
      <c r="D27">
        <v>147.44506556463881</v>
      </c>
      <c r="E27">
        <v>157.64508045540089</v>
      </c>
      <c r="F27">
        <v>145.06921239338391</v>
      </c>
      <c r="G27">
        <v>137.34351716321061</v>
      </c>
      <c r="H27">
        <v>112.23544423649651</v>
      </c>
      <c r="I27">
        <v>99.522379999999998</v>
      </c>
      <c r="J27">
        <v>126.83762666666669</v>
      </c>
      <c r="K27">
        <v>137.84143897435899</v>
      </c>
      <c r="L27">
        <v>138.55437977987421</v>
      </c>
      <c r="M27">
        <v>142.13403392201829</v>
      </c>
      <c r="N27">
        <v>131.34171208333331</v>
      </c>
      <c r="O27">
        <v>142.59624444444441</v>
      </c>
      <c r="P27">
        <v>133.97440741433019</v>
      </c>
      <c r="Q27">
        <v>139.98177408602149</v>
      </c>
      <c r="R27">
        <v>145.67950396396401</v>
      </c>
      <c r="S27">
        <v>171.68317110383779</v>
      </c>
      <c r="T27">
        <v>200.1647286948216</v>
      </c>
      <c r="U27">
        <v>225.94138208097479</v>
      </c>
      <c r="V27">
        <v>232.8005871494253</v>
      </c>
      <c r="W27">
        <v>251.69498316091961</v>
      </c>
      <c r="X27">
        <v>205.7729852034775</v>
      </c>
      <c r="Y27">
        <v>205.68269577730439</v>
      </c>
    </row>
    <row r="28" spans="1:25" x14ac:dyDescent="0.35">
      <c r="A28" s="1" t="s">
        <v>48</v>
      </c>
      <c r="B28">
        <v>179.8319801819373</v>
      </c>
      <c r="C28">
        <v>167.24682109862781</v>
      </c>
      <c r="D28">
        <v>148.61547301821241</v>
      </c>
      <c r="E28">
        <v>146.4339626465692</v>
      </c>
      <c r="F28">
        <v>145.42104802293119</v>
      </c>
      <c r="G28">
        <v>167.99097935845879</v>
      </c>
      <c r="H28">
        <v>162.2271725074396</v>
      </c>
      <c r="I28">
        <v>155.45047492725831</v>
      </c>
      <c r="J28">
        <v>126.9954214393961</v>
      </c>
      <c r="K28">
        <v>129.01325817053541</v>
      </c>
      <c r="L28">
        <v>134.88467628123831</v>
      </c>
      <c r="M28">
        <v>138.92578394760511</v>
      </c>
      <c r="N28">
        <v>127.68554446523321</v>
      </c>
      <c r="O28">
        <v>138.45653845184279</v>
      </c>
      <c r="P28">
        <v>137.72800404914759</v>
      </c>
      <c r="Q28">
        <v>151.50500162944579</v>
      </c>
      <c r="R28">
        <v>177.29339137716951</v>
      </c>
      <c r="S28">
        <v>224.01659803697231</v>
      </c>
      <c r="T28">
        <v>227.94558942828149</v>
      </c>
      <c r="U28">
        <v>286.31902935649089</v>
      </c>
      <c r="V28">
        <v>252.137643323828</v>
      </c>
      <c r="W28">
        <v>286.522998336591</v>
      </c>
      <c r="X28">
        <v>225.70965538903721</v>
      </c>
      <c r="Y28">
        <v>218.58465335209479</v>
      </c>
    </row>
    <row r="29" spans="1:25" x14ac:dyDescent="0.35">
      <c r="A29" s="1" t="s">
        <v>49</v>
      </c>
      <c r="B29">
        <v>365.27289177100761</v>
      </c>
      <c r="C29">
        <v>365.27289177100761</v>
      </c>
      <c r="D29">
        <v>354.68304162068301</v>
      </c>
      <c r="E29">
        <v>365.27289177100761</v>
      </c>
      <c r="F29">
        <v>365.27289177100761</v>
      </c>
      <c r="G29">
        <v>365.27289177100761</v>
      </c>
      <c r="H29">
        <v>339.47480211576709</v>
      </c>
      <c r="I29">
        <v>210.47588957040591</v>
      </c>
      <c r="J29">
        <v>181.04590452668629</v>
      </c>
      <c r="K29">
        <v>220.08985104498049</v>
      </c>
      <c r="L29">
        <v>235.76641496998721</v>
      </c>
      <c r="M29">
        <v>230.34623322727271</v>
      </c>
      <c r="N29">
        <v>229.41306359659089</v>
      </c>
      <c r="O29">
        <v>230.0982114216867</v>
      </c>
      <c r="P29">
        <v>231.23299575526951</v>
      </c>
      <c r="Q29">
        <v>222.30568987444951</v>
      </c>
      <c r="R29">
        <v>215.5855378141321</v>
      </c>
      <c r="S29">
        <v>209.02006958624531</v>
      </c>
      <c r="T29">
        <v>223.09584956413141</v>
      </c>
      <c r="U29">
        <v>251.3456529078365</v>
      </c>
      <c r="V29">
        <v>327.7522584701349</v>
      </c>
      <c r="W29">
        <v>349.24096871741301</v>
      </c>
      <c r="X29">
        <v>365.27289177100761</v>
      </c>
      <c r="Y29">
        <v>365.27289177100761</v>
      </c>
    </row>
    <row r="30" spans="1:25" x14ac:dyDescent="0.35">
      <c r="A30" s="1" t="s">
        <v>50</v>
      </c>
      <c r="B30">
        <v>166.53318364986731</v>
      </c>
      <c r="C30">
        <v>172.70849898831571</v>
      </c>
      <c r="D30">
        <v>147.44506556463881</v>
      </c>
      <c r="E30">
        <v>157.64508045540089</v>
      </c>
      <c r="F30">
        <v>145.06921239338391</v>
      </c>
      <c r="G30">
        <v>137.34351716321061</v>
      </c>
      <c r="H30">
        <v>112.23544423649651</v>
      </c>
      <c r="I30">
        <v>99.522379999999998</v>
      </c>
      <c r="J30">
        <v>126.83762666666669</v>
      </c>
      <c r="K30">
        <v>137.84143897435899</v>
      </c>
      <c r="L30">
        <v>138.55437977987421</v>
      </c>
      <c r="M30">
        <v>142.13403392201829</v>
      </c>
      <c r="N30">
        <v>131.34171208333331</v>
      </c>
      <c r="O30">
        <v>142.59624444444441</v>
      </c>
      <c r="P30">
        <v>133.97440741433019</v>
      </c>
      <c r="Q30">
        <v>139.98177408602149</v>
      </c>
      <c r="R30">
        <v>145.67950396396401</v>
      </c>
      <c r="S30">
        <v>171.68317110383779</v>
      </c>
      <c r="T30">
        <v>200.1647286948216</v>
      </c>
      <c r="U30">
        <v>225.94138208097479</v>
      </c>
      <c r="V30">
        <v>232.8005871494253</v>
      </c>
      <c r="W30">
        <v>251.69498316091961</v>
      </c>
      <c r="X30">
        <v>205.7729852034775</v>
      </c>
      <c r="Y30">
        <v>205.68269577730439</v>
      </c>
    </row>
    <row r="31" spans="1:25" x14ac:dyDescent="0.35">
      <c r="A31" s="1" t="s">
        <v>51</v>
      </c>
      <c r="B31">
        <v>179.8319801819373</v>
      </c>
      <c r="C31">
        <v>167.24682109862781</v>
      </c>
      <c r="D31">
        <v>148.61547301821241</v>
      </c>
      <c r="E31">
        <v>146.4339626465692</v>
      </c>
      <c r="F31">
        <v>145.42104802293119</v>
      </c>
      <c r="G31">
        <v>167.99097935845879</v>
      </c>
      <c r="H31">
        <v>162.2271725074396</v>
      </c>
      <c r="I31">
        <v>155.45047492725831</v>
      </c>
      <c r="J31">
        <v>126.9954214393961</v>
      </c>
      <c r="K31">
        <v>129.01325817053541</v>
      </c>
      <c r="L31">
        <v>134.88467628123831</v>
      </c>
      <c r="M31">
        <v>138.92578394760511</v>
      </c>
      <c r="N31">
        <v>127.68554446523321</v>
      </c>
      <c r="O31">
        <v>138.45653845184279</v>
      </c>
      <c r="P31">
        <v>137.72800404914759</v>
      </c>
      <c r="Q31">
        <v>151.50500162944579</v>
      </c>
      <c r="R31">
        <v>177.29339137716951</v>
      </c>
      <c r="S31">
        <v>224.01659803697231</v>
      </c>
      <c r="T31">
        <v>227.94558942828149</v>
      </c>
      <c r="U31">
        <v>286.31902935649089</v>
      </c>
      <c r="V31">
        <v>252.137643323828</v>
      </c>
      <c r="W31">
        <v>286.522998336591</v>
      </c>
      <c r="X31">
        <v>225.70965538903721</v>
      </c>
      <c r="Y31">
        <v>218.58465335209479</v>
      </c>
    </row>
    <row r="32" spans="1:25" x14ac:dyDescent="0.35">
      <c r="A32" s="1" t="s">
        <v>52</v>
      </c>
      <c r="B32">
        <v>381.93037007226178</v>
      </c>
      <c r="C32">
        <v>365.27289177100761</v>
      </c>
      <c r="D32">
        <v>354.68304162068301</v>
      </c>
      <c r="E32">
        <v>381.93037007226178</v>
      </c>
      <c r="F32">
        <v>381.93037007226178</v>
      </c>
      <c r="G32">
        <v>381.93037007226178</v>
      </c>
      <c r="H32">
        <v>339.47480211576709</v>
      </c>
      <c r="I32">
        <v>210.47588957040591</v>
      </c>
      <c r="J32">
        <v>181.04590452668629</v>
      </c>
      <c r="K32">
        <v>220.08985104498049</v>
      </c>
      <c r="L32">
        <v>235.76641496998721</v>
      </c>
      <c r="M32">
        <v>230.34623322727271</v>
      </c>
      <c r="N32">
        <v>229.41306359659089</v>
      </c>
      <c r="O32">
        <v>230.0982114216867</v>
      </c>
      <c r="P32">
        <v>231.23299575526951</v>
      </c>
      <c r="Q32">
        <v>222.30568987444951</v>
      </c>
      <c r="R32">
        <v>215.5855378141321</v>
      </c>
      <c r="S32">
        <v>209.02006958624531</v>
      </c>
      <c r="T32">
        <v>223.09584956413141</v>
      </c>
      <c r="U32">
        <v>251.3456529078365</v>
      </c>
      <c r="V32">
        <v>327.7522584701349</v>
      </c>
      <c r="W32">
        <v>349.24096871741301</v>
      </c>
      <c r="X32">
        <v>369.73110067846898</v>
      </c>
      <c r="Y32">
        <v>381.93037007226178</v>
      </c>
    </row>
    <row r="33" spans="1:25" x14ac:dyDescent="0.35">
      <c r="A33" s="1" t="s">
        <v>53</v>
      </c>
      <c r="B33">
        <v>166.53318364986731</v>
      </c>
      <c r="C33">
        <v>172.70849898831571</v>
      </c>
      <c r="D33">
        <v>147.44506556463881</v>
      </c>
      <c r="E33">
        <v>157.64508045540089</v>
      </c>
      <c r="F33">
        <v>145.06921239338391</v>
      </c>
      <c r="G33">
        <v>137.34351716321061</v>
      </c>
      <c r="H33">
        <v>112.23544423649651</v>
      </c>
      <c r="I33">
        <v>99.522379999999998</v>
      </c>
      <c r="J33">
        <v>126.83762666666669</v>
      </c>
      <c r="K33">
        <v>137.84143897435899</v>
      </c>
      <c r="L33">
        <v>138.55437977987421</v>
      </c>
      <c r="M33">
        <v>142.13403392201829</v>
      </c>
      <c r="N33">
        <v>131.34171208333331</v>
      </c>
      <c r="O33">
        <v>142.59624444444441</v>
      </c>
      <c r="P33">
        <v>133.97440741433019</v>
      </c>
      <c r="Q33">
        <v>139.98177408602149</v>
      </c>
      <c r="R33">
        <v>145.67950396396401</v>
      </c>
      <c r="S33">
        <v>171.68317110383779</v>
      </c>
      <c r="T33">
        <v>200.1647286948216</v>
      </c>
      <c r="U33">
        <v>225.94138208097479</v>
      </c>
      <c r="V33">
        <v>232.8005871494253</v>
      </c>
      <c r="W33">
        <v>251.69498316091961</v>
      </c>
      <c r="X33">
        <v>205.7729852034775</v>
      </c>
      <c r="Y33">
        <v>205.68269577730439</v>
      </c>
    </row>
    <row r="34" spans="1:25" x14ac:dyDescent="0.35">
      <c r="A34" s="1" t="s">
        <v>54</v>
      </c>
      <c r="B34">
        <v>179.8319801819373</v>
      </c>
      <c r="C34">
        <v>167.24682109862781</v>
      </c>
      <c r="D34">
        <v>148.61547301821241</v>
      </c>
      <c r="E34">
        <v>146.4339626465692</v>
      </c>
      <c r="F34">
        <v>145.42104802293119</v>
      </c>
      <c r="G34">
        <v>167.99097935845879</v>
      </c>
      <c r="H34">
        <v>162.2271725074396</v>
      </c>
      <c r="I34">
        <v>155.45047492725831</v>
      </c>
      <c r="J34">
        <v>126.9954214393961</v>
      </c>
      <c r="K34">
        <v>129.01325817053541</v>
      </c>
      <c r="L34">
        <v>134.88467628123831</v>
      </c>
      <c r="M34">
        <v>138.92578394760511</v>
      </c>
      <c r="N34">
        <v>127.68554446523321</v>
      </c>
      <c r="O34">
        <v>138.45653845184279</v>
      </c>
      <c r="P34">
        <v>137.72800404914759</v>
      </c>
      <c r="Q34">
        <v>151.50500162944579</v>
      </c>
      <c r="R34">
        <v>177.29339137716951</v>
      </c>
      <c r="S34">
        <v>224.01659803697231</v>
      </c>
      <c r="T34">
        <v>227.94558942828149</v>
      </c>
      <c r="U34">
        <v>286.31902935649089</v>
      </c>
      <c r="V34">
        <v>252.137643323828</v>
      </c>
      <c r="W34">
        <v>286.522998336591</v>
      </c>
      <c r="X34">
        <v>225.70965538903721</v>
      </c>
      <c r="Y34">
        <v>218.58465335209479</v>
      </c>
    </row>
    <row r="35" spans="1:25" x14ac:dyDescent="0.35">
      <c r="A35" s="1" t="s">
        <v>55</v>
      </c>
      <c r="B35">
        <v>381.93037007226178</v>
      </c>
      <c r="C35">
        <v>365.27289177100761</v>
      </c>
      <c r="D35">
        <v>354.68304162068301</v>
      </c>
      <c r="E35">
        <v>381.93037007226178</v>
      </c>
      <c r="F35">
        <v>381.93037007226178</v>
      </c>
      <c r="G35">
        <v>381.93037007226178</v>
      </c>
      <c r="H35">
        <v>339.47480211576709</v>
      </c>
      <c r="I35">
        <v>210.47588957040591</v>
      </c>
      <c r="J35">
        <v>181.04590452668629</v>
      </c>
      <c r="K35">
        <v>220.08985104498049</v>
      </c>
      <c r="L35">
        <v>235.76641496998721</v>
      </c>
      <c r="M35">
        <v>230.34623322727271</v>
      </c>
      <c r="N35">
        <v>229.41306359659089</v>
      </c>
      <c r="O35">
        <v>230.0982114216867</v>
      </c>
      <c r="P35">
        <v>231.23299575526951</v>
      </c>
      <c r="Q35">
        <v>222.30568987444951</v>
      </c>
      <c r="R35">
        <v>215.5855378141321</v>
      </c>
      <c r="S35">
        <v>209.02006958624531</v>
      </c>
      <c r="T35">
        <v>223.09584956413141</v>
      </c>
      <c r="U35">
        <v>251.3456529078365</v>
      </c>
      <c r="V35">
        <v>327.7522584701349</v>
      </c>
      <c r="W35">
        <v>349.24096871741301</v>
      </c>
      <c r="X35">
        <v>369.73110067846898</v>
      </c>
      <c r="Y35">
        <v>381.93037007226178</v>
      </c>
    </row>
    <row r="36" spans="1:25" x14ac:dyDescent="0.35">
      <c r="A36" s="1" t="s">
        <v>56</v>
      </c>
      <c r="B36">
        <v>166.53318364986731</v>
      </c>
      <c r="C36">
        <v>172.70849898831571</v>
      </c>
      <c r="D36">
        <v>147.44506556463881</v>
      </c>
      <c r="E36">
        <v>157.64508045540089</v>
      </c>
      <c r="F36">
        <v>145.06921239338391</v>
      </c>
      <c r="G36">
        <v>137.34351716321061</v>
      </c>
      <c r="H36">
        <v>112.23544423649651</v>
      </c>
      <c r="I36">
        <v>99.522379999999998</v>
      </c>
      <c r="J36">
        <v>126.83762666666669</v>
      </c>
      <c r="K36">
        <v>137.84143897435899</v>
      </c>
      <c r="L36">
        <v>138.55437977987421</v>
      </c>
      <c r="M36">
        <v>142.13403392201829</v>
      </c>
      <c r="N36">
        <v>131.34171208333331</v>
      </c>
      <c r="O36">
        <v>142.59624444444441</v>
      </c>
      <c r="P36">
        <v>133.97440741433019</v>
      </c>
      <c r="Q36">
        <v>139.98177408602149</v>
      </c>
      <c r="R36">
        <v>145.67950396396401</v>
      </c>
      <c r="S36">
        <v>171.68317110383779</v>
      </c>
      <c r="T36">
        <v>200.1647286948216</v>
      </c>
      <c r="U36">
        <v>225.94138208097479</v>
      </c>
      <c r="V36">
        <v>232.8005871494253</v>
      </c>
      <c r="W36">
        <v>251.69498316091961</v>
      </c>
      <c r="X36">
        <v>205.7729852034775</v>
      </c>
      <c r="Y36">
        <v>205.68269577730439</v>
      </c>
    </row>
    <row r="37" spans="1:25" x14ac:dyDescent="0.35">
      <c r="A37" s="1" t="s">
        <v>57</v>
      </c>
      <c r="B37">
        <v>179.8319801819373</v>
      </c>
      <c r="C37">
        <v>167.24682109862781</v>
      </c>
      <c r="D37">
        <v>148.61547301821241</v>
      </c>
      <c r="E37">
        <v>146.4339626465692</v>
      </c>
      <c r="F37">
        <v>145.42104802293119</v>
      </c>
      <c r="G37">
        <v>167.99097935845879</v>
      </c>
      <c r="H37">
        <v>162.2271725074396</v>
      </c>
      <c r="I37">
        <v>155.45047492725831</v>
      </c>
      <c r="J37">
        <v>126.9954214393961</v>
      </c>
      <c r="K37">
        <v>129.01325817053541</v>
      </c>
      <c r="L37">
        <v>134.88467628123831</v>
      </c>
      <c r="M37">
        <v>138.92578394760511</v>
      </c>
      <c r="N37">
        <v>127.68554446523321</v>
      </c>
      <c r="O37">
        <v>138.45653845184279</v>
      </c>
      <c r="P37">
        <v>137.72800404914759</v>
      </c>
      <c r="Q37">
        <v>151.50500162944579</v>
      </c>
      <c r="R37">
        <v>177.29339137716951</v>
      </c>
      <c r="S37">
        <v>224.01659803697231</v>
      </c>
      <c r="T37">
        <v>227.94558942828149</v>
      </c>
      <c r="U37">
        <v>286.31902935649089</v>
      </c>
      <c r="V37">
        <v>252.137643323828</v>
      </c>
      <c r="W37">
        <v>286.522998336591</v>
      </c>
      <c r="X37">
        <v>225.70965538903721</v>
      </c>
      <c r="Y37">
        <v>218.58465335209479</v>
      </c>
    </row>
    <row r="38" spans="1:25" x14ac:dyDescent="0.35">
      <c r="A38" s="1" t="s">
        <v>58</v>
      </c>
      <c r="B38">
        <v>381.93037007226178</v>
      </c>
      <c r="C38">
        <v>365.27289177100761</v>
      </c>
      <c r="D38">
        <v>354.68304162068301</v>
      </c>
      <c r="E38">
        <v>381.93037007226178</v>
      </c>
      <c r="F38">
        <v>381.93037007226178</v>
      </c>
      <c r="G38">
        <v>381.93037007226178</v>
      </c>
      <c r="H38">
        <v>339.47480211576709</v>
      </c>
      <c r="I38">
        <v>210.47588957040591</v>
      </c>
      <c r="J38">
        <v>181.04590452668629</v>
      </c>
      <c r="K38">
        <v>220.08985104498049</v>
      </c>
      <c r="L38">
        <v>235.76641496998721</v>
      </c>
      <c r="M38">
        <v>230.34623322727271</v>
      </c>
      <c r="N38">
        <v>229.41306359659089</v>
      </c>
      <c r="O38">
        <v>230.0982114216867</v>
      </c>
      <c r="P38">
        <v>231.23299575526951</v>
      </c>
      <c r="Q38">
        <v>222.30568987444951</v>
      </c>
      <c r="R38">
        <v>215.5855378141321</v>
      </c>
      <c r="S38">
        <v>209.02006958624531</v>
      </c>
      <c r="T38">
        <v>223.09584956413141</v>
      </c>
      <c r="U38">
        <v>251.3456529078365</v>
      </c>
      <c r="V38">
        <v>327.7522584701349</v>
      </c>
      <c r="W38">
        <v>349.24096871741301</v>
      </c>
      <c r="X38">
        <v>369.73110067846898</v>
      </c>
      <c r="Y38">
        <v>381.93037007226178</v>
      </c>
    </row>
    <row r="39" spans="1:25" x14ac:dyDescent="0.35">
      <c r="A39" s="1" t="s">
        <v>59</v>
      </c>
      <c r="B39">
        <v>166.53318364986731</v>
      </c>
      <c r="C39">
        <v>172.70849898831571</v>
      </c>
      <c r="D39">
        <v>147.44506556463881</v>
      </c>
      <c r="E39">
        <v>157.64508045540089</v>
      </c>
      <c r="F39">
        <v>145.06921239338391</v>
      </c>
      <c r="G39">
        <v>137.34351716321061</v>
      </c>
      <c r="H39">
        <v>112.23544423649651</v>
      </c>
      <c r="I39">
        <v>99.522379999999998</v>
      </c>
      <c r="J39">
        <v>126.83762666666669</v>
      </c>
      <c r="K39">
        <v>137.84143897435899</v>
      </c>
      <c r="L39">
        <v>138.55437977987421</v>
      </c>
      <c r="M39">
        <v>142.13403392201829</v>
      </c>
      <c r="N39">
        <v>131.34171208333331</v>
      </c>
      <c r="O39">
        <v>142.59624444444441</v>
      </c>
      <c r="P39">
        <v>133.97440741433019</v>
      </c>
      <c r="Q39">
        <v>139.98177408602149</v>
      </c>
      <c r="R39">
        <v>145.67950396396401</v>
      </c>
      <c r="S39">
        <v>171.68317110383779</v>
      </c>
      <c r="T39">
        <v>200.1647286948216</v>
      </c>
      <c r="U39">
        <v>225.94138208097479</v>
      </c>
      <c r="V39">
        <v>232.8005871494253</v>
      </c>
      <c r="W39">
        <v>251.69498316091961</v>
      </c>
      <c r="X39">
        <v>205.7729852034775</v>
      </c>
      <c r="Y39">
        <v>205.68269577730439</v>
      </c>
    </row>
    <row r="40" spans="1:25" x14ac:dyDescent="0.35">
      <c r="A40" s="1" t="s">
        <v>60</v>
      </c>
      <c r="B40">
        <v>179.8319801819373</v>
      </c>
      <c r="C40">
        <v>167.24682109862781</v>
      </c>
      <c r="D40">
        <v>148.61547301821241</v>
      </c>
      <c r="E40">
        <v>146.4339626465692</v>
      </c>
      <c r="F40">
        <v>145.42104802293119</v>
      </c>
      <c r="G40">
        <v>167.99097935845879</v>
      </c>
      <c r="H40">
        <v>162.2271725074396</v>
      </c>
      <c r="I40">
        <v>155.45047492725831</v>
      </c>
      <c r="J40">
        <v>126.9954214393961</v>
      </c>
      <c r="K40">
        <v>129.01325817053541</v>
      </c>
      <c r="L40">
        <v>134.88467628123831</v>
      </c>
      <c r="M40">
        <v>138.92578394760511</v>
      </c>
      <c r="N40">
        <v>127.68554446523321</v>
      </c>
      <c r="O40">
        <v>138.45653845184279</v>
      </c>
      <c r="P40">
        <v>137.72800404914759</v>
      </c>
      <c r="Q40">
        <v>151.50500162944579</v>
      </c>
      <c r="R40">
        <v>177.29339137716951</v>
      </c>
      <c r="S40">
        <v>224.01659803697231</v>
      </c>
      <c r="T40">
        <v>227.94558942828149</v>
      </c>
      <c r="U40">
        <v>286.31902935649089</v>
      </c>
      <c r="V40">
        <v>252.137643323828</v>
      </c>
      <c r="W40">
        <v>286.522998336591</v>
      </c>
      <c r="X40">
        <v>225.70965538903721</v>
      </c>
      <c r="Y40">
        <v>218.58465335209479</v>
      </c>
    </row>
    <row r="41" spans="1:25" x14ac:dyDescent="0.35">
      <c r="A41" s="1" t="s">
        <v>61</v>
      </c>
      <c r="B41">
        <v>321.20092477057852</v>
      </c>
      <c r="C41">
        <v>321.20092477057852</v>
      </c>
      <c r="D41">
        <v>321.20092477057852</v>
      </c>
      <c r="E41">
        <v>321.20092477057852</v>
      </c>
      <c r="F41">
        <v>321.20092477057852</v>
      </c>
      <c r="G41">
        <v>321.20092477057852</v>
      </c>
      <c r="H41">
        <v>321.20092477057852</v>
      </c>
      <c r="I41">
        <v>210.47588957040591</v>
      </c>
      <c r="J41">
        <v>181.04590452668629</v>
      </c>
      <c r="K41">
        <v>220.08985104498049</v>
      </c>
      <c r="L41">
        <v>235.76641496998721</v>
      </c>
      <c r="M41">
        <v>230.34623322727271</v>
      </c>
      <c r="N41">
        <v>229.41306359659089</v>
      </c>
      <c r="O41">
        <v>230.0982114216867</v>
      </c>
      <c r="P41">
        <v>231.23299575526951</v>
      </c>
      <c r="Q41">
        <v>222.30568987444951</v>
      </c>
      <c r="R41">
        <v>215.5855378141321</v>
      </c>
      <c r="S41">
        <v>209.02006958624531</v>
      </c>
      <c r="T41">
        <v>223.09584956413141</v>
      </c>
      <c r="U41">
        <v>251.3456529078365</v>
      </c>
      <c r="V41">
        <v>321.20092477057852</v>
      </c>
      <c r="W41">
        <v>321.20092477057852</v>
      </c>
      <c r="X41">
        <v>321.20092477057852</v>
      </c>
      <c r="Y41">
        <v>321.20092477057852</v>
      </c>
    </row>
    <row r="42" spans="1:25" x14ac:dyDescent="0.35">
      <c r="A42" s="1" t="s">
        <v>62</v>
      </c>
      <c r="B42">
        <v>166.53318364986731</v>
      </c>
      <c r="C42">
        <v>172.70849898831571</v>
      </c>
      <c r="D42">
        <v>147.44506556463881</v>
      </c>
      <c r="E42">
        <v>157.64508045540089</v>
      </c>
      <c r="F42">
        <v>145.06921239338391</v>
      </c>
      <c r="G42">
        <v>137.34351716321061</v>
      </c>
      <c r="H42">
        <v>112.23544423649651</v>
      </c>
      <c r="I42">
        <v>99.522379999999998</v>
      </c>
      <c r="J42">
        <v>126.83762666666669</v>
      </c>
      <c r="K42">
        <v>137.84143897435899</v>
      </c>
      <c r="L42">
        <v>138.55437977987421</v>
      </c>
      <c r="M42">
        <v>142.13403392201829</v>
      </c>
      <c r="N42">
        <v>131.34171208333331</v>
      </c>
      <c r="O42">
        <v>142.59624444444441</v>
      </c>
      <c r="P42">
        <v>133.97440741433019</v>
      </c>
      <c r="Q42">
        <v>139.98177408602149</v>
      </c>
      <c r="R42">
        <v>145.67950396396401</v>
      </c>
      <c r="S42">
        <v>171.68317110383779</v>
      </c>
      <c r="T42">
        <v>200.1647286948216</v>
      </c>
      <c r="U42">
        <v>225.94138208097479</v>
      </c>
      <c r="V42">
        <v>232.8005871494253</v>
      </c>
      <c r="W42">
        <v>251.69498316091961</v>
      </c>
      <c r="X42">
        <v>205.7729852034775</v>
      </c>
      <c r="Y42">
        <v>205.68269577730439</v>
      </c>
    </row>
    <row r="43" spans="1:25" x14ac:dyDescent="0.35">
      <c r="A43" s="1" t="s">
        <v>63</v>
      </c>
      <c r="B43">
        <v>179.8319801819373</v>
      </c>
      <c r="C43">
        <v>167.24682109862781</v>
      </c>
      <c r="D43">
        <v>148.61547301821241</v>
      </c>
      <c r="E43">
        <v>146.4339626465692</v>
      </c>
      <c r="F43">
        <v>145.42104802293119</v>
      </c>
      <c r="G43">
        <v>167.99097935845879</v>
      </c>
      <c r="H43">
        <v>162.2271725074396</v>
      </c>
      <c r="I43">
        <v>155.45047492725831</v>
      </c>
      <c r="J43">
        <v>126.9954214393961</v>
      </c>
      <c r="K43">
        <v>129.01325817053541</v>
      </c>
      <c r="L43">
        <v>134.88467628123831</v>
      </c>
      <c r="M43">
        <v>138.92578394760511</v>
      </c>
      <c r="N43">
        <v>127.68554446523321</v>
      </c>
      <c r="O43">
        <v>138.45653845184279</v>
      </c>
      <c r="P43">
        <v>137.72800404914759</v>
      </c>
      <c r="Q43">
        <v>151.50500162944579</v>
      </c>
      <c r="R43">
        <v>177.29339137716951</v>
      </c>
      <c r="S43">
        <v>224.01659803697231</v>
      </c>
      <c r="T43">
        <v>227.94558942828149</v>
      </c>
      <c r="U43">
        <v>286.31902935649089</v>
      </c>
      <c r="V43">
        <v>252.137643323828</v>
      </c>
      <c r="W43">
        <v>286.522998336591</v>
      </c>
      <c r="X43">
        <v>225.70965538903721</v>
      </c>
      <c r="Y43">
        <v>218.58465335209479</v>
      </c>
    </row>
    <row r="44" spans="1:25" x14ac:dyDescent="0.35">
      <c r="A44" s="1" t="s">
        <v>64</v>
      </c>
      <c r="B44">
        <v>256.74950831915783</v>
      </c>
      <c r="C44">
        <v>256.74950831915783</v>
      </c>
      <c r="D44">
        <v>256.74950831915783</v>
      </c>
      <c r="E44">
        <v>256.74950831915783</v>
      </c>
      <c r="F44">
        <v>256.74950831915783</v>
      </c>
      <c r="G44">
        <v>256.74950831915783</v>
      </c>
      <c r="H44">
        <v>256.74950831915783</v>
      </c>
      <c r="I44">
        <v>210.47588957040591</v>
      </c>
      <c r="J44">
        <v>181.04590452668629</v>
      </c>
      <c r="K44">
        <v>220.08985104498049</v>
      </c>
      <c r="L44">
        <v>235.76641496998721</v>
      </c>
      <c r="M44">
        <v>230.34623322727271</v>
      </c>
      <c r="N44">
        <v>229.41306359659089</v>
      </c>
      <c r="O44">
        <v>230.0982114216867</v>
      </c>
      <c r="P44">
        <v>231.23299575526951</v>
      </c>
      <c r="Q44">
        <v>222.30568987444951</v>
      </c>
      <c r="R44">
        <v>215.5855378141321</v>
      </c>
      <c r="S44">
        <v>209.02006958624531</v>
      </c>
      <c r="T44">
        <v>223.09584956413141</v>
      </c>
      <c r="U44">
        <v>251.3456529078365</v>
      </c>
      <c r="V44">
        <v>256.74950831915783</v>
      </c>
      <c r="W44">
        <v>256.74950831915783</v>
      </c>
      <c r="X44">
        <v>256.74950831915783</v>
      </c>
      <c r="Y44">
        <v>256.74950831915783</v>
      </c>
    </row>
    <row r="45" spans="1:25" x14ac:dyDescent="0.35">
      <c r="A45" s="1" t="s">
        <v>65</v>
      </c>
      <c r="B45">
        <v>166.53318364986731</v>
      </c>
      <c r="C45">
        <v>172.70849898831571</v>
      </c>
      <c r="D45">
        <v>147.44506556463881</v>
      </c>
      <c r="E45">
        <v>157.64508045540089</v>
      </c>
      <c r="F45">
        <v>145.06921239338391</v>
      </c>
      <c r="G45">
        <v>137.34351716321061</v>
      </c>
      <c r="H45">
        <v>112.23544423649651</v>
      </c>
      <c r="I45">
        <v>99.522379999999998</v>
      </c>
      <c r="J45">
        <v>126.83762666666669</v>
      </c>
      <c r="K45">
        <v>137.84143897435899</v>
      </c>
      <c r="L45">
        <v>138.55437977987421</v>
      </c>
      <c r="M45">
        <v>142.13403392201829</v>
      </c>
      <c r="N45">
        <v>131.34171208333331</v>
      </c>
      <c r="O45">
        <v>142.59624444444441</v>
      </c>
      <c r="P45">
        <v>133.97440741433019</v>
      </c>
      <c r="Q45">
        <v>139.98177408602149</v>
      </c>
      <c r="R45">
        <v>145.67950396396401</v>
      </c>
      <c r="S45">
        <v>171.68317110383779</v>
      </c>
      <c r="T45">
        <v>200.1647286948216</v>
      </c>
      <c r="U45">
        <v>225.94138208097479</v>
      </c>
      <c r="V45">
        <v>232.8005871494253</v>
      </c>
      <c r="W45">
        <v>251.69498316091961</v>
      </c>
      <c r="X45">
        <v>205.7729852034775</v>
      </c>
      <c r="Y45">
        <v>205.68269577730439</v>
      </c>
    </row>
    <row r="46" spans="1:25" x14ac:dyDescent="0.35">
      <c r="A46" s="1" t="s">
        <v>66</v>
      </c>
      <c r="B46">
        <v>179.8319801819373</v>
      </c>
      <c r="C46">
        <v>167.24682109862781</v>
      </c>
      <c r="D46">
        <v>148.61547301821241</v>
      </c>
      <c r="E46">
        <v>146.4339626465692</v>
      </c>
      <c r="F46">
        <v>145.42104802293119</v>
      </c>
      <c r="G46">
        <v>167.99097935845879</v>
      </c>
      <c r="H46">
        <v>162.2271725074396</v>
      </c>
      <c r="I46">
        <v>155.45047492725831</v>
      </c>
      <c r="J46">
        <v>126.9954214393961</v>
      </c>
      <c r="K46">
        <v>129.01325817053541</v>
      </c>
      <c r="L46">
        <v>134.88467628123831</v>
      </c>
      <c r="M46">
        <v>138.92578394760511</v>
      </c>
      <c r="N46">
        <v>127.68554446523321</v>
      </c>
      <c r="O46">
        <v>138.45653845184279</v>
      </c>
      <c r="P46">
        <v>137.72800404914759</v>
      </c>
      <c r="Q46">
        <v>151.50500162944579</v>
      </c>
      <c r="R46">
        <v>177.29339137716951</v>
      </c>
      <c r="S46">
        <v>224.01659803697231</v>
      </c>
      <c r="T46">
        <v>227.94558942828149</v>
      </c>
      <c r="U46">
        <v>256.74950831915783</v>
      </c>
      <c r="V46">
        <v>252.137643323828</v>
      </c>
      <c r="W46">
        <v>256.74950831915783</v>
      </c>
      <c r="X46">
        <v>225.70965538903721</v>
      </c>
      <c r="Y46">
        <v>218.58465335209479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47"/>
  <sheetViews>
    <sheetView topLeftCell="I31" workbookViewId="0">
      <selection activeCell="Z47" sqref="Z47"/>
    </sheetView>
  </sheetViews>
  <sheetFormatPr defaultRowHeight="14.5" x14ac:dyDescent="0.35"/>
  <cols>
    <col min="26" max="26" width="11.453125" bestFit="1" customWidth="1"/>
  </cols>
  <sheetData>
    <row r="1" spans="1:2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6" x14ac:dyDescent="0.35">
      <c r="A2" s="1" t="s">
        <v>22</v>
      </c>
      <c r="B2">
        <v>-382.73384166348058</v>
      </c>
      <c r="C2">
        <v>-365.27289177100761</v>
      </c>
      <c r="D2">
        <v>-354.68304162068301</v>
      </c>
      <c r="E2">
        <v>-381.93037007226178</v>
      </c>
      <c r="F2">
        <v>-406.87604574171138</v>
      </c>
      <c r="G2">
        <v>-415.30273751513499</v>
      </c>
      <c r="H2">
        <v>-339.47480211576709</v>
      </c>
      <c r="I2">
        <v>-210.47588957040591</v>
      </c>
      <c r="J2">
        <v>-181.04590452668629</v>
      </c>
      <c r="K2">
        <v>-220.08985104498049</v>
      </c>
      <c r="L2">
        <v>-235.76641496998721</v>
      </c>
      <c r="M2">
        <v>-230.34623322727271</v>
      </c>
      <c r="N2">
        <v>-229.41306359659089</v>
      </c>
      <c r="O2">
        <v>-230.0982114216867</v>
      </c>
      <c r="P2">
        <v>-231.23299575526951</v>
      </c>
      <c r="Q2">
        <v>-222.30568987444951</v>
      </c>
      <c r="R2">
        <v>-215.5855378141321</v>
      </c>
      <c r="S2">
        <v>-209.02006958624531</v>
      </c>
      <c r="T2">
        <v>-223.09584956413141</v>
      </c>
      <c r="U2">
        <v>-251.3456529078365</v>
      </c>
      <c r="V2">
        <v>-327.7522584701349</v>
      </c>
      <c r="W2">
        <v>-349.24096871741301</v>
      </c>
      <c r="X2">
        <v>-369.73110067846898</v>
      </c>
      <c r="Y2">
        <v>-386.23793865605359</v>
      </c>
      <c r="Z2">
        <f>SUM(B2:Y2)*199</f>
        <v>-1386842.4148154764</v>
      </c>
    </row>
    <row r="3" spans="1:26" x14ac:dyDescent="0.35">
      <c r="A3" s="1" t="s">
        <v>23</v>
      </c>
      <c r="B3">
        <v>-166.53318364986731</v>
      </c>
      <c r="C3">
        <v>-172.70849898831571</v>
      </c>
      <c r="D3">
        <v>-147.44506556463881</v>
      </c>
      <c r="E3">
        <v>-157.64508045540089</v>
      </c>
      <c r="F3">
        <v>-145.06921239338391</v>
      </c>
      <c r="G3">
        <v>-137.34351716321061</v>
      </c>
      <c r="H3">
        <v>-112.23544423649651</v>
      </c>
      <c r="I3">
        <v>-99.522379999999998</v>
      </c>
      <c r="J3">
        <v>-126.83762666666669</v>
      </c>
      <c r="K3">
        <v>-137.84143897435899</v>
      </c>
      <c r="L3">
        <v>-138.55437977987421</v>
      </c>
      <c r="M3">
        <v>-142.13403392201829</v>
      </c>
      <c r="N3">
        <v>-131.34171208333331</v>
      </c>
      <c r="O3">
        <v>-142.59624444444441</v>
      </c>
      <c r="P3">
        <v>-133.97440741433019</v>
      </c>
      <c r="Q3">
        <v>-139.98177408602149</v>
      </c>
      <c r="R3">
        <v>-145.67950396396401</v>
      </c>
      <c r="S3">
        <v>-171.68317110383779</v>
      </c>
      <c r="T3">
        <v>-200.1647286948216</v>
      </c>
      <c r="U3">
        <v>-225.94138208097479</v>
      </c>
      <c r="V3">
        <v>-232.8005871494253</v>
      </c>
      <c r="W3">
        <v>-251.69498316091961</v>
      </c>
      <c r="X3">
        <v>-205.7729852034775</v>
      </c>
      <c r="Y3">
        <v>-205.68269577730439</v>
      </c>
      <c r="Z3">
        <f>SUM(B3:Y3)*106</f>
        <v>-410345.50791745115</v>
      </c>
    </row>
    <row r="4" spans="1:26" x14ac:dyDescent="0.35">
      <c r="A4" s="1" t="s">
        <v>24</v>
      </c>
      <c r="B4">
        <v>-179.8319801819373</v>
      </c>
      <c r="C4">
        <v>-167.24682109862781</v>
      </c>
      <c r="D4">
        <v>-148.61547301821241</v>
      </c>
      <c r="E4">
        <v>-146.4339626465692</v>
      </c>
      <c r="F4">
        <v>-145.42104802293119</v>
      </c>
      <c r="G4">
        <v>-167.99097935845879</v>
      </c>
      <c r="H4">
        <v>-162.2271725074396</v>
      </c>
      <c r="I4">
        <v>-155.45047492725831</v>
      </c>
      <c r="J4">
        <v>-126.9954214393961</v>
      </c>
      <c r="K4">
        <v>-129.01325817053541</v>
      </c>
      <c r="L4">
        <v>-134.88467628123831</v>
      </c>
      <c r="M4">
        <v>-138.92578394760511</v>
      </c>
      <c r="N4">
        <v>-127.68554446523321</v>
      </c>
      <c r="O4">
        <v>-138.45653845184279</v>
      </c>
      <c r="P4">
        <v>-137.72800404914759</v>
      </c>
      <c r="Q4">
        <v>-151.50500162944579</v>
      </c>
      <c r="R4">
        <v>-177.29339137716951</v>
      </c>
      <c r="S4">
        <v>-224.01659803697231</v>
      </c>
      <c r="T4">
        <v>-227.94558942828149</v>
      </c>
      <c r="U4">
        <v>-286.31902935649089</v>
      </c>
      <c r="V4">
        <v>-252.137643323828</v>
      </c>
      <c r="W4">
        <v>-286.522998336591</v>
      </c>
      <c r="X4">
        <v>-225.70965538903721</v>
      </c>
      <c r="Y4">
        <v>-218.58465335209479</v>
      </c>
      <c r="Z4">
        <f>SUM(B4:Y4)*60</f>
        <v>-255416.50192778069</v>
      </c>
    </row>
    <row r="5" spans="1:26" x14ac:dyDescent="0.35">
      <c r="A5" s="1" t="s">
        <v>25</v>
      </c>
      <c r="B5">
        <v>-382.73384166348058</v>
      </c>
      <c r="C5">
        <v>-365.27289177100761</v>
      </c>
      <c r="D5">
        <v>-354.68304162068301</v>
      </c>
      <c r="E5">
        <v>-381.93037007226178</v>
      </c>
      <c r="F5">
        <v>-406.87604574171138</v>
      </c>
      <c r="G5">
        <v>-415.30273751513499</v>
      </c>
      <c r="H5">
        <v>-339.47480211576709</v>
      </c>
      <c r="I5">
        <v>-210.47588957040591</v>
      </c>
      <c r="J5">
        <v>-181.04590452668629</v>
      </c>
      <c r="K5">
        <v>-220.08985104498049</v>
      </c>
      <c r="L5">
        <v>-235.76641496998721</v>
      </c>
      <c r="M5">
        <v>-230.34623322727271</v>
      </c>
      <c r="N5">
        <v>-229.41306359659089</v>
      </c>
      <c r="O5">
        <v>-230.0982114216867</v>
      </c>
      <c r="P5">
        <v>-231.23299575526951</v>
      </c>
      <c r="Q5">
        <v>-222.30568987444951</v>
      </c>
      <c r="R5">
        <v>-215.5855378141321</v>
      </c>
      <c r="S5">
        <v>-209.02006958624531</v>
      </c>
      <c r="T5">
        <v>-223.09584956413141</v>
      </c>
      <c r="U5">
        <v>-251.3456529078365</v>
      </c>
      <c r="V5">
        <v>-327.7522584701349</v>
      </c>
      <c r="W5">
        <v>-349.24096871741301</v>
      </c>
      <c r="X5">
        <v>-369.73110067846898</v>
      </c>
      <c r="Y5">
        <v>-386.23793865605359</v>
      </c>
      <c r="Z5">
        <f t="shared" ref="Z5" si="0">SUM(B5:Y5)*199</f>
        <v>-1386842.4148154764</v>
      </c>
    </row>
    <row r="6" spans="1:26" x14ac:dyDescent="0.35">
      <c r="A6" s="1" t="s">
        <v>26</v>
      </c>
      <c r="B6">
        <v>-166.53318364986731</v>
      </c>
      <c r="C6">
        <v>-172.70849898831571</v>
      </c>
      <c r="D6">
        <v>-147.44506556463881</v>
      </c>
      <c r="E6">
        <v>-157.64508045540089</v>
      </c>
      <c r="F6">
        <v>-145.06921239338391</v>
      </c>
      <c r="G6">
        <v>-137.34351716321061</v>
      </c>
      <c r="H6">
        <v>-112.23544423649651</v>
      </c>
      <c r="I6">
        <v>-99.522379999999998</v>
      </c>
      <c r="J6">
        <v>-126.83762666666669</v>
      </c>
      <c r="K6">
        <v>-137.84143897435899</v>
      </c>
      <c r="L6">
        <v>-138.55437977987421</v>
      </c>
      <c r="M6">
        <v>-142.13403392201829</v>
      </c>
      <c r="N6">
        <v>-131.34171208333331</v>
      </c>
      <c r="O6">
        <v>-142.59624444444441</v>
      </c>
      <c r="P6">
        <v>-133.97440741433019</v>
      </c>
      <c r="Q6">
        <v>-139.98177408602149</v>
      </c>
      <c r="R6">
        <v>-145.67950396396401</v>
      </c>
      <c r="S6">
        <v>-171.68317110383779</v>
      </c>
      <c r="T6">
        <v>-200.1647286948216</v>
      </c>
      <c r="U6">
        <v>-225.94138208097479</v>
      </c>
      <c r="V6">
        <v>-232.8005871494253</v>
      </c>
      <c r="W6">
        <v>-251.69498316091961</v>
      </c>
      <c r="X6">
        <v>-205.7729852034775</v>
      </c>
      <c r="Y6">
        <v>-205.68269577730439</v>
      </c>
      <c r="Z6">
        <f t="shared" ref="Z6" si="1">SUM(B6:Y6)*106</f>
        <v>-410345.50791745115</v>
      </c>
    </row>
    <row r="7" spans="1:26" x14ac:dyDescent="0.35">
      <c r="A7" s="1" t="s">
        <v>27</v>
      </c>
      <c r="B7">
        <v>-179.8319801819373</v>
      </c>
      <c r="C7">
        <v>-167.24682109862781</v>
      </c>
      <c r="D7">
        <v>-148.61547301821241</v>
      </c>
      <c r="E7">
        <v>-146.4339626465692</v>
      </c>
      <c r="F7">
        <v>-145.42104802293119</v>
      </c>
      <c r="G7">
        <v>-167.99097935845879</v>
      </c>
      <c r="H7">
        <v>-162.2271725074396</v>
      </c>
      <c r="I7">
        <v>-155.45047492725831</v>
      </c>
      <c r="J7">
        <v>-126.9954214393961</v>
      </c>
      <c r="K7">
        <v>-129.01325817053541</v>
      </c>
      <c r="L7">
        <v>-134.88467628123831</v>
      </c>
      <c r="M7">
        <v>-138.92578394760511</v>
      </c>
      <c r="N7">
        <v>-127.68554446523321</v>
      </c>
      <c r="O7">
        <v>-138.45653845184279</v>
      </c>
      <c r="P7">
        <v>-137.72800404914759</v>
      </c>
      <c r="Q7">
        <v>-151.50500162944579</v>
      </c>
      <c r="R7">
        <v>-177.29339137716951</v>
      </c>
      <c r="S7">
        <v>-224.01659803697231</v>
      </c>
      <c r="T7">
        <v>-227.94558942828149</v>
      </c>
      <c r="U7">
        <v>-286.31902935649089</v>
      </c>
      <c r="V7">
        <v>-252.137643323828</v>
      </c>
      <c r="W7">
        <v>-286.522998336591</v>
      </c>
      <c r="X7">
        <v>-225.70965538903721</v>
      </c>
      <c r="Y7">
        <v>-218.58465335209479</v>
      </c>
      <c r="Z7">
        <f t="shared" ref="Z7" si="2">SUM(B7:Y7)*60</f>
        <v>-255416.50192778069</v>
      </c>
    </row>
    <row r="8" spans="1:26" x14ac:dyDescent="0.35">
      <c r="A8" s="1" t="s">
        <v>28</v>
      </c>
      <c r="B8">
        <v>-382.73384166348058</v>
      </c>
      <c r="C8">
        <v>-365.27289177100761</v>
      </c>
      <c r="D8">
        <v>-354.68304162068301</v>
      </c>
      <c r="E8">
        <v>-381.93037007226178</v>
      </c>
      <c r="F8">
        <v>-406.87604574171138</v>
      </c>
      <c r="G8">
        <v>-415.30273751513499</v>
      </c>
      <c r="H8">
        <v>-339.47480211576709</v>
      </c>
      <c r="I8">
        <v>-210.47588957040591</v>
      </c>
      <c r="J8">
        <v>-181.04590452668629</v>
      </c>
      <c r="K8">
        <v>-220.08985104498049</v>
      </c>
      <c r="L8">
        <v>-235.76641496998721</v>
      </c>
      <c r="M8">
        <v>-230.34623322727271</v>
      </c>
      <c r="N8">
        <v>-229.41306359659089</v>
      </c>
      <c r="O8">
        <v>-230.0982114216867</v>
      </c>
      <c r="P8">
        <v>-231.23299575526951</v>
      </c>
      <c r="Q8">
        <v>-222.30568987444951</v>
      </c>
      <c r="R8">
        <v>-215.5855378141321</v>
      </c>
      <c r="S8">
        <v>-209.02006958624531</v>
      </c>
      <c r="T8">
        <v>-223.09584956413141</v>
      </c>
      <c r="U8">
        <v>-251.3456529078365</v>
      </c>
      <c r="V8">
        <v>-327.7522584701349</v>
      </c>
      <c r="W8">
        <v>-349.24096871741301</v>
      </c>
      <c r="X8">
        <v>-369.73110067846898</v>
      </c>
      <c r="Y8">
        <v>-386.23793865605359</v>
      </c>
      <c r="Z8">
        <f t="shared" ref="Z8" si="3">SUM(B8:Y8)*199</f>
        <v>-1386842.4148154764</v>
      </c>
    </row>
    <row r="9" spans="1:26" x14ac:dyDescent="0.35">
      <c r="A9" s="1" t="s">
        <v>29</v>
      </c>
      <c r="B9">
        <v>-166.53318364986731</v>
      </c>
      <c r="C9">
        <v>-172.70849898831571</v>
      </c>
      <c r="D9">
        <v>-147.44506556463881</v>
      </c>
      <c r="E9">
        <v>-157.64508045540089</v>
      </c>
      <c r="F9">
        <v>-145.06921239338391</v>
      </c>
      <c r="G9">
        <v>-137.34351716321061</v>
      </c>
      <c r="H9">
        <v>-112.23544423649651</v>
      </c>
      <c r="I9">
        <v>-99.522379999999998</v>
      </c>
      <c r="J9">
        <v>-126.83762666666669</v>
      </c>
      <c r="K9">
        <v>-137.84143897435899</v>
      </c>
      <c r="L9">
        <v>-138.55437977987421</v>
      </c>
      <c r="M9">
        <v>-142.13403392201829</v>
      </c>
      <c r="N9">
        <v>-131.34171208333331</v>
      </c>
      <c r="O9">
        <v>-142.59624444444441</v>
      </c>
      <c r="P9">
        <v>-133.97440741433019</v>
      </c>
      <c r="Q9">
        <v>-139.98177408602149</v>
      </c>
      <c r="R9">
        <v>-145.67950396396401</v>
      </c>
      <c r="S9">
        <v>-171.68317110383779</v>
      </c>
      <c r="T9">
        <v>-200.1647286948216</v>
      </c>
      <c r="U9">
        <v>-225.94138208097479</v>
      </c>
      <c r="V9">
        <v>-232.8005871494253</v>
      </c>
      <c r="W9">
        <v>-251.69498316091961</v>
      </c>
      <c r="X9">
        <v>-205.7729852034775</v>
      </c>
      <c r="Y9">
        <v>-205.68269577730439</v>
      </c>
      <c r="Z9">
        <f t="shared" ref="Z9" si="4">SUM(B9:Y9)*106</f>
        <v>-410345.50791745115</v>
      </c>
    </row>
    <row r="10" spans="1:26" x14ac:dyDescent="0.35">
      <c r="A10" s="1" t="s">
        <v>30</v>
      </c>
      <c r="B10">
        <v>-179.8319801819373</v>
      </c>
      <c r="C10">
        <v>-167.24682109862781</v>
      </c>
      <c r="D10">
        <v>-148.61547301821241</v>
      </c>
      <c r="E10">
        <v>-146.4339626465692</v>
      </c>
      <c r="F10">
        <v>-145.42104802293119</v>
      </c>
      <c r="G10">
        <v>-167.99097935845879</v>
      </c>
      <c r="H10">
        <v>-162.2271725074396</v>
      </c>
      <c r="I10">
        <v>-155.45047492725831</v>
      </c>
      <c r="J10">
        <v>-126.9954214393961</v>
      </c>
      <c r="K10">
        <v>-129.01325817053541</v>
      </c>
      <c r="L10">
        <v>-134.88467628123831</v>
      </c>
      <c r="M10">
        <v>-138.92578394760511</v>
      </c>
      <c r="N10">
        <v>-127.68554446523321</v>
      </c>
      <c r="O10">
        <v>-138.45653845184279</v>
      </c>
      <c r="P10">
        <v>-137.72800404914759</v>
      </c>
      <c r="Q10">
        <v>-151.50500162944579</v>
      </c>
      <c r="R10">
        <v>-177.29339137716951</v>
      </c>
      <c r="S10">
        <v>-224.01659803697231</v>
      </c>
      <c r="T10">
        <v>-227.94558942828149</v>
      </c>
      <c r="U10">
        <v>-286.31902935649089</v>
      </c>
      <c r="V10">
        <v>-252.137643323828</v>
      </c>
      <c r="W10">
        <v>-286.522998336591</v>
      </c>
      <c r="X10">
        <v>-225.70965538903721</v>
      </c>
      <c r="Y10">
        <v>-218.58465335209479</v>
      </c>
      <c r="Z10">
        <f t="shared" ref="Z10" si="5">SUM(B10:Y10)*60</f>
        <v>-255416.50192778069</v>
      </c>
    </row>
    <row r="11" spans="1:26" x14ac:dyDescent="0.35">
      <c r="A11" s="1" t="s">
        <v>31</v>
      </c>
      <c r="B11">
        <v>-382.73384166348058</v>
      </c>
      <c r="C11">
        <v>-365.27289177100761</v>
      </c>
      <c r="D11">
        <v>-354.68304162068301</v>
      </c>
      <c r="E11">
        <v>-381.93037007226178</v>
      </c>
      <c r="F11">
        <v>-406.87604574171138</v>
      </c>
      <c r="G11">
        <v>-415.30273751513499</v>
      </c>
      <c r="H11">
        <v>-339.47480211576709</v>
      </c>
      <c r="I11">
        <v>-210.47588957040591</v>
      </c>
      <c r="J11">
        <v>-181.04590452668629</v>
      </c>
      <c r="K11">
        <v>-220.08985104498049</v>
      </c>
      <c r="L11">
        <v>-235.76641496998721</v>
      </c>
      <c r="M11">
        <v>-230.34623322727271</v>
      </c>
      <c r="N11">
        <v>-229.41306359659089</v>
      </c>
      <c r="O11">
        <v>-230.0982114216867</v>
      </c>
      <c r="P11">
        <v>-231.23299575526951</v>
      </c>
      <c r="Q11">
        <v>-222.30568987444951</v>
      </c>
      <c r="R11">
        <v>-215.5855378141321</v>
      </c>
      <c r="S11">
        <v>-209.02006958624531</v>
      </c>
      <c r="T11">
        <v>-223.09584956413141</v>
      </c>
      <c r="U11">
        <v>-251.3456529078365</v>
      </c>
      <c r="V11">
        <v>-327.7522584701349</v>
      </c>
      <c r="W11">
        <v>-349.24096871741301</v>
      </c>
      <c r="X11">
        <v>-369.73110067846898</v>
      </c>
      <c r="Y11">
        <v>-386.23793865605359</v>
      </c>
      <c r="Z11">
        <f t="shared" ref="Z11" si="6">SUM(B11:Y11)*199</f>
        <v>-1386842.4148154764</v>
      </c>
    </row>
    <row r="12" spans="1:26" x14ac:dyDescent="0.35">
      <c r="A12" s="1" t="s">
        <v>32</v>
      </c>
      <c r="B12">
        <v>-166.53318364986731</v>
      </c>
      <c r="C12">
        <v>-172.70849898831571</v>
      </c>
      <c r="D12">
        <v>-147.44506556463881</v>
      </c>
      <c r="E12">
        <v>-157.64508045540089</v>
      </c>
      <c r="F12">
        <v>-145.06921239338391</v>
      </c>
      <c r="G12">
        <v>-137.34351716321061</v>
      </c>
      <c r="H12">
        <v>-112.23544423649651</v>
      </c>
      <c r="I12">
        <v>-99.522379999999998</v>
      </c>
      <c r="J12">
        <v>-126.83762666666669</v>
      </c>
      <c r="K12">
        <v>-137.84143897435899</v>
      </c>
      <c r="L12">
        <v>-138.55437977987421</v>
      </c>
      <c r="M12">
        <v>-142.13403392201829</v>
      </c>
      <c r="N12">
        <v>-131.34171208333331</v>
      </c>
      <c r="O12">
        <v>-142.59624444444441</v>
      </c>
      <c r="P12">
        <v>-133.97440741433019</v>
      </c>
      <c r="Q12">
        <v>-139.98177408602149</v>
      </c>
      <c r="R12">
        <v>-145.67950396396401</v>
      </c>
      <c r="S12">
        <v>-171.68317110383779</v>
      </c>
      <c r="T12">
        <v>-200.1647286948216</v>
      </c>
      <c r="U12">
        <v>-225.94138208097479</v>
      </c>
      <c r="V12">
        <v>-232.8005871494253</v>
      </c>
      <c r="W12">
        <v>-251.69498316091961</v>
      </c>
      <c r="X12">
        <v>-205.7729852034775</v>
      </c>
      <c r="Y12">
        <v>-205.68269577730439</v>
      </c>
      <c r="Z12">
        <f t="shared" ref="Z12" si="7">SUM(B12:Y12)*106</f>
        <v>-410345.50791745115</v>
      </c>
    </row>
    <row r="13" spans="1:26" x14ac:dyDescent="0.35">
      <c r="A13" s="1" t="s">
        <v>33</v>
      </c>
      <c r="B13">
        <v>-179.8319801819373</v>
      </c>
      <c r="C13">
        <v>-167.24682109862781</v>
      </c>
      <c r="D13">
        <v>-148.61547301821241</v>
      </c>
      <c r="E13">
        <v>-146.4339626465692</v>
      </c>
      <c r="F13">
        <v>-145.42104802293119</v>
      </c>
      <c r="G13">
        <v>-167.99097935845879</v>
      </c>
      <c r="H13">
        <v>-162.2271725074396</v>
      </c>
      <c r="I13">
        <v>-155.45047492725831</v>
      </c>
      <c r="J13">
        <v>-126.9954214393961</v>
      </c>
      <c r="K13">
        <v>-129.01325817053541</v>
      </c>
      <c r="L13">
        <v>-134.88467628123831</v>
      </c>
      <c r="M13">
        <v>-138.92578394760511</v>
      </c>
      <c r="N13">
        <v>-127.68554446523321</v>
      </c>
      <c r="O13">
        <v>-138.45653845184279</v>
      </c>
      <c r="P13">
        <v>-137.72800404914759</v>
      </c>
      <c r="Q13">
        <v>-151.50500162944579</v>
      </c>
      <c r="R13">
        <v>-177.29339137716951</v>
      </c>
      <c r="S13">
        <v>-224.01659803697231</v>
      </c>
      <c r="T13">
        <v>-227.94558942828149</v>
      </c>
      <c r="U13">
        <v>-286.31902935649089</v>
      </c>
      <c r="V13">
        <v>-252.137643323828</v>
      </c>
      <c r="W13">
        <v>-286.522998336591</v>
      </c>
      <c r="X13">
        <v>-225.70965538903721</v>
      </c>
      <c r="Y13">
        <v>-218.58465335209479</v>
      </c>
      <c r="Z13">
        <f t="shared" ref="Z13" si="8">SUM(B13:Y13)*60</f>
        <v>-255416.50192778069</v>
      </c>
    </row>
    <row r="14" spans="1:26" x14ac:dyDescent="0.35">
      <c r="A14" s="1" t="s">
        <v>34</v>
      </c>
      <c r="B14">
        <v>-382.73384166348058</v>
      </c>
      <c r="C14">
        <v>-365.27289177100761</v>
      </c>
      <c r="D14">
        <v>-354.68304162068301</v>
      </c>
      <c r="E14">
        <v>-381.93037007226178</v>
      </c>
      <c r="F14">
        <v>-406.87604574171138</v>
      </c>
      <c r="G14">
        <v>-415.30273751513499</v>
      </c>
      <c r="H14">
        <v>-339.47480211576709</v>
      </c>
      <c r="I14">
        <v>-210.47588957040591</v>
      </c>
      <c r="J14">
        <v>-181.04590452668629</v>
      </c>
      <c r="K14">
        <v>-220.08985104498049</v>
      </c>
      <c r="L14">
        <v>-235.76641496998721</v>
      </c>
      <c r="M14">
        <v>-230.34623322727271</v>
      </c>
      <c r="N14">
        <v>-229.41306359659089</v>
      </c>
      <c r="O14">
        <v>-230.0982114216867</v>
      </c>
      <c r="P14">
        <v>-231.23299575526951</v>
      </c>
      <c r="Q14">
        <v>-222.30568987444951</v>
      </c>
      <c r="R14">
        <v>-215.5855378141321</v>
      </c>
      <c r="S14">
        <v>-209.02006958624531</v>
      </c>
      <c r="T14">
        <v>-223.09584956413141</v>
      </c>
      <c r="U14">
        <v>-251.3456529078365</v>
      </c>
      <c r="V14">
        <v>-327.7522584701349</v>
      </c>
      <c r="W14">
        <v>-349.24096871741301</v>
      </c>
      <c r="X14">
        <v>-369.73110067846898</v>
      </c>
      <c r="Y14">
        <v>-386.23793865605359</v>
      </c>
      <c r="Z14">
        <f t="shared" ref="Z14" si="9">SUM(B14:Y14)*199</f>
        <v>-1386842.4148154764</v>
      </c>
    </row>
    <row r="15" spans="1:26" x14ac:dyDescent="0.35">
      <c r="A15" s="1" t="s">
        <v>35</v>
      </c>
      <c r="B15">
        <v>-166.53318364986731</v>
      </c>
      <c r="C15">
        <v>-172.70849898831571</v>
      </c>
      <c r="D15">
        <v>-147.44506556463881</v>
      </c>
      <c r="E15">
        <v>-157.64508045540089</v>
      </c>
      <c r="F15">
        <v>-145.06921239338391</v>
      </c>
      <c r="G15">
        <v>-137.34351716321061</v>
      </c>
      <c r="H15">
        <v>-112.23544423649651</v>
      </c>
      <c r="I15">
        <v>-99.522379999999998</v>
      </c>
      <c r="J15">
        <v>-126.83762666666669</v>
      </c>
      <c r="K15">
        <v>-137.84143897435899</v>
      </c>
      <c r="L15">
        <v>-138.55437977987421</v>
      </c>
      <c r="M15">
        <v>-142.13403392201829</v>
      </c>
      <c r="N15">
        <v>-131.34171208333331</v>
      </c>
      <c r="O15">
        <v>-142.59624444444441</v>
      </c>
      <c r="P15">
        <v>-133.97440741433019</v>
      </c>
      <c r="Q15">
        <v>-139.98177408602149</v>
      </c>
      <c r="R15">
        <v>-145.67950396396401</v>
      </c>
      <c r="S15">
        <v>-171.68317110383779</v>
      </c>
      <c r="T15">
        <v>-200.1647286948216</v>
      </c>
      <c r="U15">
        <v>-225.94138208097479</v>
      </c>
      <c r="V15">
        <v>-232.8005871494253</v>
      </c>
      <c r="W15">
        <v>-251.69498316091961</v>
      </c>
      <c r="X15">
        <v>-205.7729852034775</v>
      </c>
      <c r="Y15">
        <v>-205.68269577730439</v>
      </c>
      <c r="Z15">
        <f t="shared" ref="Z15" si="10">SUM(B15:Y15)*106</f>
        <v>-410345.50791745115</v>
      </c>
    </row>
    <row r="16" spans="1:26" x14ac:dyDescent="0.35">
      <c r="A16" s="1" t="s">
        <v>36</v>
      </c>
      <c r="B16">
        <v>-179.8319801819373</v>
      </c>
      <c r="C16">
        <v>-167.24682109862781</v>
      </c>
      <c r="D16">
        <v>-148.61547301821241</v>
      </c>
      <c r="E16">
        <v>-146.4339626465692</v>
      </c>
      <c r="F16">
        <v>-145.42104802293119</v>
      </c>
      <c r="G16">
        <v>-167.99097935845879</v>
      </c>
      <c r="H16">
        <v>-162.2271725074396</v>
      </c>
      <c r="I16">
        <v>-155.45047492725831</v>
      </c>
      <c r="J16">
        <v>-126.9954214393961</v>
      </c>
      <c r="K16">
        <v>-129.01325817053541</v>
      </c>
      <c r="L16">
        <v>-134.88467628123831</v>
      </c>
      <c r="M16">
        <v>-138.92578394760511</v>
      </c>
      <c r="N16">
        <v>-127.68554446523321</v>
      </c>
      <c r="O16">
        <v>-138.45653845184279</v>
      </c>
      <c r="P16">
        <v>-137.72800404914759</v>
      </c>
      <c r="Q16">
        <v>-151.50500162944579</v>
      </c>
      <c r="R16">
        <v>-177.29339137716951</v>
      </c>
      <c r="S16">
        <v>-224.01659803697231</v>
      </c>
      <c r="T16">
        <v>-227.94558942828149</v>
      </c>
      <c r="U16">
        <v>-286.31902935649089</v>
      </c>
      <c r="V16">
        <v>-252.137643323828</v>
      </c>
      <c r="W16">
        <v>-286.522998336591</v>
      </c>
      <c r="X16">
        <v>-225.70965538903721</v>
      </c>
      <c r="Y16">
        <v>-218.58465335209479</v>
      </c>
      <c r="Z16">
        <f t="shared" ref="Z16" si="11">SUM(B16:Y16)*60</f>
        <v>-255416.50192778069</v>
      </c>
    </row>
    <row r="17" spans="1:26" x14ac:dyDescent="0.35">
      <c r="A17" s="1" t="s">
        <v>37</v>
      </c>
      <c r="B17">
        <v>-382.73384166348058</v>
      </c>
      <c r="C17">
        <v>-365.27289177100761</v>
      </c>
      <c r="D17">
        <v>-354.68304162068301</v>
      </c>
      <c r="E17">
        <v>-381.93037007226178</v>
      </c>
      <c r="F17">
        <v>-406.87604574171138</v>
      </c>
      <c r="G17">
        <v>-415.30273751513499</v>
      </c>
      <c r="H17">
        <v>-339.47480211576709</v>
      </c>
      <c r="I17">
        <v>-210.47588957040591</v>
      </c>
      <c r="J17">
        <v>-181.04590452668629</v>
      </c>
      <c r="K17">
        <v>-220.08985104498049</v>
      </c>
      <c r="L17">
        <v>-235.76641496998721</v>
      </c>
      <c r="M17">
        <v>-230.34623322727271</v>
      </c>
      <c r="N17">
        <v>-229.41306359659089</v>
      </c>
      <c r="O17">
        <v>-230.0982114216867</v>
      </c>
      <c r="P17">
        <v>-231.23299575526951</v>
      </c>
      <c r="Q17">
        <v>-222.30568987444951</v>
      </c>
      <c r="R17">
        <v>-215.5855378141321</v>
      </c>
      <c r="S17">
        <v>-209.02006958624531</v>
      </c>
      <c r="T17">
        <v>-223.09584956413141</v>
      </c>
      <c r="U17">
        <v>-251.3456529078365</v>
      </c>
      <c r="V17">
        <v>-327.7522584701349</v>
      </c>
      <c r="W17">
        <v>-349.24096871741301</v>
      </c>
      <c r="X17">
        <v>-369.73110067846898</v>
      </c>
      <c r="Y17">
        <v>-386.23793865605359</v>
      </c>
      <c r="Z17">
        <f t="shared" ref="Z17" si="12">SUM(B17:Y17)*199</f>
        <v>-1386842.4148154764</v>
      </c>
    </row>
    <row r="18" spans="1:26" x14ac:dyDescent="0.35">
      <c r="A18" s="1" t="s">
        <v>38</v>
      </c>
      <c r="B18">
        <v>-166.53318364986731</v>
      </c>
      <c r="C18">
        <v>-172.70849898831571</v>
      </c>
      <c r="D18">
        <v>-147.44506556463881</v>
      </c>
      <c r="E18">
        <v>-157.64508045540089</v>
      </c>
      <c r="F18">
        <v>-145.06921239338391</v>
      </c>
      <c r="G18">
        <v>-137.34351716321061</v>
      </c>
      <c r="H18">
        <v>-112.23544423649651</v>
      </c>
      <c r="I18">
        <v>-99.522379999999998</v>
      </c>
      <c r="J18">
        <v>-126.83762666666669</v>
      </c>
      <c r="K18">
        <v>-137.84143897435899</v>
      </c>
      <c r="L18">
        <v>-138.55437977987421</v>
      </c>
      <c r="M18">
        <v>-142.13403392201829</v>
      </c>
      <c r="N18">
        <v>-131.34171208333331</v>
      </c>
      <c r="O18">
        <v>-142.59624444444441</v>
      </c>
      <c r="P18">
        <v>-133.97440741433019</v>
      </c>
      <c r="Q18">
        <v>-139.98177408602149</v>
      </c>
      <c r="R18">
        <v>-145.67950396396401</v>
      </c>
      <c r="S18">
        <v>-171.68317110383779</v>
      </c>
      <c r="T18">
        <v>-200.1647286948216</v>
      </c>
      <c r="U18">
        <v>-225.94138208097479</v>
      </c>
      <c r="V18">
        <v>-232.8005871494253</v>
      </c>
      <c r="W18">
        <v>-251.69498316091961</v>
      </c>
      <c r="X18">
        <v>-205.7729852034775</v>
      </c>
      <c r="Y18">
        <v>-205.68269577730439</v>
      </c>
      <c r="Z18">
        <f t="shared" ref="Z18" si="13">SUM(B18:Y18)*106</f>
        <v>-410345.50791745115</v>
      </c>
    </row>
    <row r="19" spans="1:26" x14ac:dyDescent="0.35">
      <c r="A19" s="1" t="s">
        <v>39</v>
      </c>
      <c r="B19">
        <v>-179.8319801819373</v>
      </c>
      <c r="C19">
        <v>-167.24682109862781</v>
      </c>
      <c r="D19">
        <v>-148.61547301821241</v>
      </c>
      <c r="E19">
        <v>-146.4339626465692</v>
      </c>
      <c r="F19">
        <v>-145.42104802293119</v>
      </c>
      <c r="G19">
        <v>-167.99097935845879</v>
      </c>
      <c r="H19">
        <v>-162.2271725074396</v>
      </c>
      <c r="I19">
        <v>-155.45047492725831</v>
      </c>
      <c r="J19">
        <v>-126.9954214393961</v>
      </c>
      <c r="K19">
        <v>-129.01325817053541</v>
      </c>
      <c r="L19">
        <v>-134.88467628123831</v>
      </c>
      <c r="M19">
        <v>-138.92578394760511</v>
      </c>
      <c r="N19">
        <v>-127.68554446523321</v>
      </c>
      <c r="O19">
        <v>-138.45653845184279</v>
      </c>
      <c r="P19">
        <v>-137.72800404914759</v>
      </c>
      <c r="Q19">
        <v>-151.50500162944579</v>
      </c>
      <c r="R19">
        <v>-177.29339137716951</v>
      </c>
      <c r="S19">
        <v>-224.01659803697231</v>
      </c>
      <c r="T19">
        <v>-227.94558942828149</v>
      </c>
      <c r="U19">
        <v>-286.31902935649089</v>
      </c>
      <c r="V19">
        <v>-252.137643323828</v>
      </c>
      <c r="W19">
        <v>-286.522998336591</v>
      </c>
      <c r="X19">
        <v>-225.70965538903721</v>
      </c>
      <c r="Y19">
        <v>-218.58465335209479</v>
      </c>
      <c r="Z19">
        <f t="shared" ref="Z19" si="14">SUM(B19:Y19)*60</f>
        <v>-255416.50192778069</v>
      </c>
    </row>
    <row r="20" spans="1:26" x14ac:dyDescent="0.35">
      <c r="A20" s="1" t="s">
        <v>40</v>
      </c>
      <c r="B20">
        <v>-382.73384166348058</v>
      </c>
      <c r="C20">
        <v>-365.27289177100761</v>
      </c>
      <c r="D20">
        <v>-354.68304162068301</v>
      </c>
      <c r="E20">
        <v>-381.93037007226178</v>
      </c>
      <c r="F20">
        <v>-406.87604574171138</v>
      </c>
      <c r="G20">
        <v>-415.30273751513499</v>
      </c>
      <c r="H20">
        <v>-339.47480211576709</v>
      </c>
      <c r="I20">
        <v>-210.47588957040591</v>
      </c>
      <c r="J20">
        <v>-181.04590452668629</v>
      </c>
      <c r="K20">
        <v>-220.08985104498049</v>
      </c>
      <c r="L20">
        <v>-235.76641496998721</v>
      </c>
      <c r="M20">
        <v>-230.34623322727271</v>
      </c>
      <c r="N20">
        <v>-229.41306359659089</v>
      </c>
      <c r="O20">
        <v>-230.0982114216867</v>
      </c>
      <c r="P20">
        <v>-231.23299575526951</v>
      </c>
      <c r="Q20">
        <v>-222.30568987444951</v>
      </c>
      <c r="R20">
        <v>-215.5855378141321</v>
      </c>
      <c r="S20">
        <v>-209.02006958624531</v>
      </c>
      <c r="T20">
        <v>-223.09584956413141</v>
      </c>
      <c r="U20">
        <v>-251.3456529078365</v>
      </c>
      <c r="V20">
        <v>-327.7522584701349</v>
      </c>
      <c r="W20">
        <v>-349.24096871741301</v>
      </c>
      <c r="X20">
        <v>-369.73110067846898</v>
      </c>
      <c r="Y20">
        <v>-386.23793865605359</v>
      </c>
      <c r="Z20">
        <f t="shared" ref="Z20" si="15">SUM(B20:Y20)*199</f>
        <v>-1386842.4148154764</v>
      </c>
    </row>
    <row r="21" spans="1:26" x14ac:dyDescent="0.35">
      <c r="A21" s="1" t="s">
        <v>41</v>
      </c>
      <c r="B21">
        <v>-166.53318364986731</v>
      </c>
      <c r="C21">
        <v>-172.70849898831571</v>
      </c>
      <c r="D21">
        <v>-147.44506556463881</v>
      </c>
      <c r="E21">
        <v>-157.64508045540089</v>
      </c>
      <c r="F21">
        <v>-145.06921239338391</v>
      </c>
      <c r="G21">
        <v>-137.34351716321061</v>
      </c>
      <c r="H21">
        <v>-112.23544423649651</v>
      </c>
      <c r="I21">
        <v>-99.522379999999998</v>
      </c>
      <c r="J21">
        <v>-126.83762666666669</v>
      </c>
      <c r="K21">
        <v>-137.84143897435899</v>
      </c>
      <c r="L21">
        <v>-138.55437977987421</v>
      </c>
      <c r="M21">
        <v>-142.13403392201829</v>
      </c>
      <c r="N21">
        <v>-131.34171208333331</v>
      </c>
      <c r="O21">
        <v>-142.59624444444441</v>
      </c>
      <c r="P21">
        <v>-133.97440741433019</v>
      </c>
      <c r="Q21">
        <v>-139.98177408602149</v>
      </c>
      <c r="R21">
        <v>-145.67950396396401</v>
      </c>
      <c r="S21">
        <v>-171.68317110383779</v>
      </c>
      <c r="T21">
        <v>-200.1647286948216</v>
      </c>
      <c r="U21">
        <v>-225.94138208097479</v>
      </c>
      <c r="V21">
        <v>-232.8005871494253</v>
      </c>
      <c r="W21">
        <v>-251.69498316091961</v>
      </c>
      <c r="X21">
        <v>-205.7729852034775</v>
      </c>
      <c r="Y21">
        <v>-205.68269577730439</v>
      </c>
      <c r="Z21">
        <f t="shared" ref="Z21" si="16">SUM(B21:Y21)*106</f>
        <v>-410345.50791745115</v>
      </c>
    </row>
    <row r="22" spans="1:26" x14ac:dyDescent="0.35">
      <c r="A22" s="1" t="s">
        <v>42</v>
      </c>
      <c r="B22">
        <v>-179.8319801819373</v>
      </c>
      <c r="C22">
        <v>-167.24682109862781</v>
      </c>
      <c r="D22">
        <v>-148.61547301821241</v>
      </c>
      <c r="E22">
        <v>-146.4339626465692</v>
      </c>
      <c r="F22">
        <v>-145.42104802293119</v>
      </c>
      <c r="G22">
        <v>-167.99097935845879</v>
      </c>
      <c r="H22">
        <v>-162.2271725074396</v>
      </c>
      <c r="I22">
        <v>-155.45047492725831</v>
      </c>
      <c r="J22">
        <v>-126.9954214393961</v>
      </c>
      <c r="K22">
        <v>-129.01325817053541</v>
      </c>
      <c r="L22">
        <v>-134.88467628123831</v>
      </c>
      <c r="M22">
        <v>-138.92578394760511</v>
      </c>
      <c r="N22">
        <v>-127.68554446523321</v>
      </c>
      <c r="O22">
        <v>-138.45653845184279</v>
      </c>
      <c r="P22">
        <v>-137.72800404914759</v>
      </c>
      <c r="Q22">
        <v>-151.50500162944579</v>
      </c>
      <c r="R22">
        <v>-177.29339137716951</v>
      </c>
      <c r="S22">
        <v>-224.01659803697231</v>
      </c>
      <c r="T22">
        <v>-227.94558942828149</v>
      </c>
      <c r="U22">
        <v>-286.31902935649089</v>
      </c>
      <c r="V22">
        <v>-252.137643323828</v>
      </c>
      <c r="W22">
        <v>-286.522998336591</v>
      </c>
      <c r="X22">
        <v>-225.70965538903721</v>
      </c>
      <c r="Y22">
        <v>-218.58465335209479</v>
      </c>
      <c r="Z22">
        <f t="shared" ref="Z22" si="17">SUM(B22:Y22)*60</f>
        <v>-255416.50192778069</v>
      </c>
    </row>
    <row r="23" spans="1:26" x14ac:dyDescent="0.35">
      <c r="A23" s="1" t="s">
        <v>43</v>
      </c>
      <c r="B23">
        <v>-382.73384166348058</v>
      </c>
      <c r="C23">
        <v>-365.27289177100761</v>
      </c>
      <c r="D23">
        <v>-354.68304162068301</v>
      </c>
      <c r="E23">
        <v>-381.93037007226178</v>
      </c>
      <c r="F23">
        <v>-406.87604574171138</v>
      </c>
      <c r="G23">
        <v>-415.30273751513499</v>
      </c>
      <c r="H23">
        <v>-339.47480211576709</v>
      </c>
      <c r="I23">
        <v>-210.47588957040591</v>
      </c>
      <c r="J23">
        <v>-181.04590452668629</v>
      </c>
      <c r="K23">
        <v>-220.08985104498049</v>
      </c>
      <c r="L23">
        <v>-235.76641496998721</v>
      </c>
      <c r="M23">
        <v>-230.34623322727271</v>
      </c>
      <c r="N23">
        <v>-229.41306359659089</v>
      </c>
      <c r="O23">
        <v>-230.0982114216867</v>
      </c>
      <c r="P23">
        <v>-231.23299575526951</v>
      </c>
      <c r="Q23">
        <v>-222.30568987444951</v>
      </c>
      <c r="R23">
        <v>-215.5855378141321</v>
      </c>
      <c r="S23">
        <v>-209.02006958624531</v>
      </c>
      <c r="T23">
        <v>-223.09584956413141</v>
      </c>
      <c r="U23">
        <v>-251.3456529078365</v>
      </c>
      <c r="V23">
        <v>-327.7522584701349</v>
      </c>
      <c r="W23">
        <v>-349.24096871741301</v>
      </c>
      <c r="X23">
        <v>-369.73110067846898</v>
      </c>
      <c r="Y23">
        <v>-386.23793865605359</v>
      </c>
      <c r="Z23">
        <f t="shared" ref="Z23" si="18">SUM(B23:Y23)*199</f>
        <v>-1386842.4148154764</v>
      </c>
    </row>
    <row r="24" spans="1:26" x14ac:dyDescent="0.35">
      <c r="A24" s="1" t="s">
        <v>44</v>
      </c>
      <c r="B24">
        <v>-166.53318364986731</v>
      </c>
      <c r="C24">
        <v>-172.70849898831571</v>
      </c>
      <c r="D24">
        <v>-147.44506556463881</v>
      </c>
      <c r="E24">
        <v>-157.64508045540089</v>
      </c>
      <c r="F24">
        <v>-145.06921239338391</v>
      </c>
      <c r="G24">
        <v>-137.34351716321061</v>
      </c>
      <c r="H24">
        <v>-112.23544423649651</v>
      </c>
      <c r="I24">
        <v>-99.522379999999998</v>
      </c>
      <c r="J24">
        <v>-126.83762666666669</v>
      </c>
      <c r="K24">
        <v>-137.84143897435899</v>
      </c>
      <c r="L24">
        <v>-138.55437977987421</v>
      </c>
      <c r="M24">
        <v>-142.13403392201829</v>
      </c>
      <c r="N24">
        <v>-131.34171208333331</v>
      </c>
      <c r="O24">
        <v>-142.59624444444441</v>
      </c>
      <c r="P24">
        <v>-133.97440741433019</v>
      </c>
      <c r="Q24">
        <v>-139.98177408602149</v>
      </c>
      <c r="R24">
        <v>-145.67950396396401</v>
      </c>
      <c r="S24">
        <v>-171.68317110383779</v>
      </c>
      <c r="T24">
        <v>-200.1647286948216</v>
      </c>
      <c r="U24">
        <v>-225.94138208097479</v>
      </c>
      <c r="V24">
        <v>-232.8005871494253</v>
      </c>
      <c r="W24">
        <v>-251.69498316091961</v>
      </c>
      <c r="X24">
        <v>-205.7729852034775</v>
      </c>
      <c r="Y24">
        <v>-205.68269577730439</v>
      </c>
      <c r="Z24">
        <f t="shared" ref="Z24" si="19">SUM(B24:Y24)*106</f>
        <v>-410345.50791745115</v>
      </c>
    </row>
    <row r="25" spans="1:26" x14ac:dyDescent="0.35">
      <c r="A25" s="1" t="s">
        <v>45</v>
      </c>
      <c r="B25">
        <v>-179.8319801819373</v>
      </c>
      <c r="C25">
        <v>-167.24682109862781</v>
      </c>
      <c r="D25">
        <v>-148.61547301821241</v>
      </c>
      <c r="E25">
        <v>-146.4339626465692</v>
      </c>
      <c r="F25">
        <v>-145.42104802293119</v>
      </c>
      <c r="G25">
        <v>-167.99097935845879</v>
      </c>
      <c r="H25">
        <v>-162.2271725074396</v>
      </c>
      <c r="I25">
        <v>-155.45047492725831</v>
      </c>
      <c r="J25">
        <v>-126.9954214393961</v>
      </c>
      <c r="K25">
        <v>-129.01325817053541</v>
      </c>
      <c r="L25">
        <v>-134.88467628123831</v>
      </c>
      <c r="M25">
        <v>-138.92578394760511</v>
      </c>
      <c r="N25">
        <v>-127.68554446523321</v>
      </c>
      <c r="O25">
        <v>-138.45653845184279</v>
      </c>
      <c r="P25">
        <v>-137.72800404914759</v>
      </c>
      <c r="Q25">
        <v>-151.50500162944579</v>
      </c>
      <c r="R25">
        <v>-177.29339137716951</v>
      </c>
      <c r="S25">
        <v>-224.01659803697231</v>
      </c>
      <c r="T25">
        <v>-227.94558942828149</v>
      </c>
      <c r="U25">
        <v>-286.31902935649089</v>
      </c>
      <c r="V25">
        <v>-252.137643323828</v>
      </c>
      <c r="W25">
        <v>-286.522998336591</v>
      </c>
      <c r="X25">
        <v>-225.70965538903721</v>
      </c>
      <c r="Y25">
        <v>-218.58465335209479</v>
      </c>
      <c r="Z25">
        <f t="shared" ref="Z25" si="20">SUM(B25:Y25)*60</f>
        <v>-255416.50192778069</v>
      </c>
    </row>
    <row r="26" spans="1:26" x14ac:dyDescent="0.35">
      <c r="A26" s="1" t="s">
        <v>46</v>
      </c>
      <c r="B26">
        <v>-382.73384166348058</v>
      </c>
      <c r="C26">
        <v>-365.27289177100761</v>
      </c>
      <c r="D26">
        <v>-354.68304162068301</v>
      </c>
      <c r="E26">
        <v>-381.93037007226178</v>
      </c>
      <c r="F26">
        <v>-406.87604574171138</v>
      </c>
      <c r="G26">
        <v>-415.30273751513499</v>
      </c>
      <c r="H26">
        <v>-339.47480211576709</v>
      </c>
      <c r="I26">
        <v>-210.47588957040591</v>
      </c>
      <c r="J26">
        <v>-181.04590452668629</v>
      </c>
      <c r="K26">
        <v>-220.08985104498049</v>
      </c>
      <c r="L26">
        <v>-235.76641496998721</v>
      </c>
      <c r="M26">
        <v>-230.34623322727271</v>
      </c>
      <c r="N26">
        <v>-229.41306359659089</v>
      </c>
      <c r="O26">
        <v>-230.0982114216867</v>
      </c>
      <c r="P26">
        <v>-231.23299575526951</v>
      </c>
      <c r="Q26">
        <v>-222.30568987444951</v>
      </c>
      <c r="R26">
        <v>-215.5855378141321</v>
      </c>
      <c r="S26">
        <v>-209.02006958624531</v>
      </c>
      <c r="T26">
        <v>-223.09584956413141</v>
      </c>
      <c r="U26">
        <v>-251.3456529078365</v>
      </c>
      <c r="V26">
        <v>-327.7522584701349</v>
      </c>
      <c r="W26">
        <v>-349.24096871741301</v>
      </c>
      <c r="X26">
        <v>-369.73110067846898</v>
      </c>
      <c r="Y26">
        <v>-386.23793865605359</v>
      </c>
      <c r="Z26">
        <f t="shared" ref="Z26" si="21">SUM(B26:Y26)*199</f>
        <v>-1386842.4148154764</v>
      </c>
    </row>
    <row r="27" spans="1:26" x14ac:dyDescent="0.35">
      <c r="A27" s="1" t="s">
        <v>47</v>
      </c>
      <c r="B27">
        <v>-166.53318364986731</v>
      </c>
      <c r="C27">
        <v>-172.70849898831571</v>
      </c>
      <c r="D27">
        <v>-147.44506556463881</v>
      </c>
      <c r="E27">
        <v>-157.64508045540089</v>
      </c>
      <c r="F27">
        <v>-145.06921239338391</v>
      </c>
      <c r="G27">
        <v>-137.34351716321061</v>
      </c>
      <c r="H27">
        <v>-112.23544423649651</v>
      </c>
      <c r="I27">
        <v>-99.522379999999998</v>
      </c>
      <c r="J27">
        <v>-126.83762666666669</v>
      </c>
      <c r="K27">
        <v>-137.84143897435899</v>
      </c>
      <c r="L27">
        <v>-138.55437977987421</v>
      </c>
      <c r="M27">
        <v>-142.13403392201829</v>
      </c>
      <c r="N27">
        <v>-131.34171208333331</v>
      </c>
      <c r="O27">
        <v>-142.59624444444441</v>
      </c>
      <c r="P27">
        <v>-133.97440741433019</v>
      </c>
      <c r="Q27">
        <v>-139.98177408602149</v>
      </c>
      <c r="R27">
        <v>-145.67950396396401</v>
      </c>
      <c r="S27">
        <v>-171.68317110383779</v>
      </c>
      <c r="T27">
        <v>-200.1647286948216</v>
      </c>
      <c r="U27">
        <v>-225.94138208097479</v>
      </c>
      <c r="V27">
        <v>-232.8005871494253</v>
      </c>
      <c r="W27">
        <v>-251.69498316091961</v>
      </c>
      <c r="X27">
        <v>-205.7729852034775</v>
      </c>
      <c r="Y27">
        <v>-205.68269577730439</v>
      </c>
      <c r="Z27">
        <f t="shared" ref="Z27" si="22">SUM(B27:Y27)*106</f>
        <v>-410345.50791745115</v>
      </c>
    </row>
    <row r="28" spans="1:26" x14ac:dyDescent="0.35">
      <c r="A28" s="1" t="s">
        <v>48</v>
      </c>
      <c r="B28">
        <v>-179.8319801819373</v>
      </c>
      <c r="C28">
        <v>-167.24682109862781</v>
      </c>
      <c r="D28">
        <v>-148.61547301821241</v>
      </c>
      <c r="E28">
        <v>-146.4339626465692</v>
      </c>
      <c r="F28">
        <v>-145.42104802293119</v>
      </c>
      <c r="G28">
        <v>-167.99097935845879</v>
      </c>
      <c r="H28">
        <v>-162.2271725074396</v>
      </c>
      <c r="I28">
        <v>-155.45047492725831</v>
      </c>
      <c r="J28">
        <v>-126.9954214393961</v>
      </c>
      <c r="K28">
        <v>-129.01325817053541</v>
      </c>
      <c r="L28">
        <v>-134.88467628123831</v>
      </c>
      <c r="M28">
        <v>-138.92578394760511</v>
      </c>
      <c r="N28">
        <v>-127.68554446523321</v>
      </c>
      <c r="O28">
        <v>-138.45653845184279</v>
      </c>
      <c r="P28">
        <v>-137.72800404914759</v>
      </c>
      <c r="Q28">
        <v>-151.50500162944579</v>
      </c>
      <c r="R28">
        <v>-177.29339137716951</v>
      </c>
      <c r="S28">
        <v>-224.01659803697231</v>
      </c>
      <c r="T28">
        <v>-227.94558942828149</v>
      </c>
      <c r="U28">
        <v>-286.31902935649089</v>
      </c>
      <c r="V28">
        <v>-252.137643323828</v>
      </c>
      <c r="W28">
        <v>-286.522998336591</v>
      </c>
      <c r="X28">
        <v>-225.70965538903721</v>
      </c>
      <c r="Y28">
        <v>-218.58465335209479</v>
      </c>
      <c r="Z28">
        <f t="shared" ref="Z28" si="23">SUM(B28:Y28)*60</f>
        <v>-255416.50192778069</v>
      </c>
    </row>
    <row r="29" spans="1:26" x14ac:dyDescent="0.35">
      <c r="A29" s="1" t="s">
        <v>49</v>
      </c>
      <c r="B29">
        <v>-382.73384166348058</v>
      </c>
      <c r="C29">
        <v>-365.27289177100761</v>
      </c>
      <c r="D29">
        <v>-354.68304162068301</v>
      </c>
      <c r="E29">
        <v>-381.93037007226178</v>
      </c>
      <c r="F29">
        <v>-406.87604574171138</v>
      </c>
      <c r="G29">
        <v>-415.30273751513499</v>
      </c>
      <c r="H29">
        <v>-339.47480211576709</v>
      </c>
      <c r="I29">
        <v>-210.47588957040591</v>
      </c>
      <c r="J29">
        <v>-181.04590452668629</v>
      </c>
      <c r="K29">
        <v>-220.08985104498049</v>
      </c>
      <c r="L29">
        <v>-235.76641496998721</v>
      </c>
      <c r="M29">
        <v>-230.34623322727271</v>
      </c>
      <c r="N29">
        <v>-229.41306359659089</v>
      </c>
      <c r="O29">
        <v>-230.0982114216867</v>
      </c>
      <c r="P29">
        <v>-231.23299575526951</v>
      </c>
      <c r="Q29">
        <v>-222.30568987444951</v>
      </c>
      <c r="R29">
        <v>-215.5855378141321</v>
      </c>
      <c r="S29">
        <v>-209.02006958624531</v>
      </c>
      <c r="T29">
        <v>-223.09584956413141</v>
      </c>
      <c r="U29">
        <v>-251.3456529078365</v>
      </c>
      <c r="V29">
        <v>-327.7522584701349</v>
      </c>
      <c r="W29">
        <v>-349.24096871741301</v>
      </c>
      <c r="X29">
        <v>-369.73110067846898</v>
      </c>
      <c r="Y29">
        <v>-386.23793865605359</v>
      </c>
      <c r="Z29">
        <f t="shared" ref="Z29" si="24">SUM(B29:Y29)*199</f>
        <v>-1386842.4148154764</v>
      </c>
    </row>
    <row r="30" spans="1:26" x14ac:dyDescent="0.35">
      <c r="A30" s="1" t="s">
        <v>50</v>
      </c>
      <c r="B30">
        <v>-166.53318364986731</v>
      </c>
      <c r="C30">
        <v>-172.70849898831571</v>
      </c>
      <c r="D30">
        <v>-147.44506556463881</v>
      </c>
      <c r="E30">
        <v>-157.64508045540089</v>
      </c>
      <c r="F30">
        <v>-145.06921239338391</v>
      </c>
      <c r="G30">
        <v>-137.34351716321061</v>
      </c>
      <c r="H30">
        <v>-112.23544423649651</v>
      </c>
      <c r="I30">
        <v>-99.522379999999998</v>
      </c>
      <c r="J30">
        <v>-126.83762666666669</v>
      </c>
      <c r="K30">
        <v>-137.84143897435899</v>
      </c>
      <c r="L30">
        <v>-138.55437977987421</v>
      </c>
      <c r="M30">
        <v>-142.13403392201829</v>
      </c>
      <c r="N30">
        <v>-131.34171208333331</v>
      </c>
      <c r="O30">
        <v>-142.59624444444441</v>
      </c>
      <c r="P30">
        <v>-133.97440741433019</v>
      </c>
      <c r="Q30">
        <v>-139.98177408602149</v>
      </c>
      <c r="R30">
        <v>-145.67950396396401</v>
      </c>
      <c r="S30">
        <v>-171.68317110383779</v>
      </c>
      <c r="T30">
        <v>-200.1647286948216</v>
      </c>
      <c r="U30">
        <v>-225.94138208097479</v>
      </c>
      <c r="V30">
        <v>-232.8005871494253</v>
      </c>
      <c r="W30">
        <v>-251.69498316091961</v>
      </c>
      <c r="X30">
        <v>-205.7729852034775</v>
      </c>
      <c r="Y30">
        <v>-205.68269577730439</v>
      </c>
      <c r="Z30">
        <f t="shared" ref="Z30" si="25">SUM(B30:Y30)*106</f>
        <v>-410345.50791745115</v>
      </c>
    </row>
    <row r="31" spans="1:26" x14ac:dyDescent="0.35">
      <c r="A31" s="1" t="s">
        <v>51</v>
      </c>
      <c r="B31">
        <v>-179.8319801819373</v>
      </c>
      <c r="C31">
        <v>-167.24682109862781</v>
      </c>
      <c r="D31">
        <v>-148.61547301821241</v>
      </c>
      <c r="E31">
        <v>-146.4339626465692</v>
      </c>
      <c r="F31">
        <v>-145.42104802293119</v>
      </c>
      <c r="G31">
        <v>-167.99097935845879</v>
      </c>
      <c r="H31">
        <v>-162.2271725074396</v>
      </c>
      <c r="I31">
        <v>-155.45047492725831</v>
      </c>
      <c r="J31">
        <v>-126.9954214393961</v>
      </c>
      <c r="K31">
        <v>-129.01325817053541</v>
      </c>
      <c r="L31">
        <v>-134.88467628123831</v>
      </c>
      <c r="M31">
        <v>-138.92578394760511</v>
      </c>
      <c r="N31">
        <v>-127.68554446523321</v>
      </c>
      <c r="O31">
        <v>-138.45653845184279</v>
      </c>
      <c r="P31">
        <v>-137.72800404914759</v>
      </c>
      <c r="Q31">
        <v>-151.50500162944579</v>
      </c>
      <c r="R31">
        <v>-177.29339137716951</v>
      </c>
      <c r="S31">
        <v>-224.01659803697231</v>
      </c>
      <c r="T31">
        <v>-227.94558942828149</v>
      </c>
      <c r="U31">
        <v>-286.31902935649089</v>
      </c>
      <c r="V31">
        <v>-252.137643323828</v>
      </c>
      <c r="W31">
        <v>-286.522998336591</v>
      </c>
      <c r="X31">
        <v>-225.70965538903721</v>
      </c>
      <c r="Y31">
        <v>-218.58465335209479</v>
      </c>
      <c r="Z31">
        <f t="shared" ref="Z31" si="26">SUM(B31:Y31)*60</f>
        <v>-255416.50192778069</v>
      </c>
    </row>
    <row r="32" spans="1:26" x14ac:dyDescent="0.35">
      <c r="A32" s="1" t="s">
        <v>52</v>
      </c>
      <c r="B32">
        <v>-382.73384166348058</v>
      </c>
      <c r="C32">
        <v>-365.27289177100761</v>
      </c>
      <c r="D32">
        <v>-354.68304162068301</v>
      </c>
      <c r="E32">
        <v>-381.93037007226178</v>
      </c>
      <c r="F32">
        <v>-406.87604574171138</v>
      </c>
      <c r="G32">
        <v>-415.30273751513499</v>
      </c>
      <c r="H32">
        <v>-339.47480211576709</v>
      </c>
      <c r="I32">
        <v>-210.47588957040591</v>
      </c>
      <c r="J32">
        <v>-181.04590452668629</v>
      </c>
      <c r="K32">
        <v>-220.08985104498049</v>
      </c>
      <c r="L32">
        <v>-235.76641496998721</v>
      </c>
      <c r="M32">
        <v>-230.34623322727271</v>
      </c>
      <c r="N32">
        <v>-229.41306359659089</v>
      </c>
      <c r="O32">
        <v>-230.0982114216867</v>
      </c>
      <c r="P32">
        <v>-231.23299575526951</v>
      </c>
      <c r="Q32">
        <v>-222.30568987444951</v>
      </c>
      <c r="R32">
        <v>-215.5855378141321</v>
      </c>
      <c r="S32">
        <v>-209.02006958624531</v>
      </c>
      <c r="T32">
        <v>-223.09584956413141</v>
      </c>
      <c r="U32">
        <v>-251.3456529078365</v>
      </c>
      <c r="V32">
        <v>-327.7522584701349</v>
      </c>
      <c r="W32">
        <v>-349.24096871741301</v>
      </c>
      <c r="X32">
        <v>-369.73110067846898</v>
      </c>
      <c r="Y32">
        <v>-386.23793865605359</v>
      </c>
      <c r="Z32">
        <f t="shared" ref="Z32" si="27">SUM(B32:Y32)*199</f>
        <v>-1386842.4148154764</v>
      </c>
    </row>
    <row r="33" spans="1:26" x14ac:dyDescent="0.35">
      <c r="A33" s="1" t="s">
        <v>53</v>
      </c>
      <c r="B33">
        <v>-166.53318364986731</v>
      </c>
      <c r="C33">
        <v>-172.70849898831571</v>
      </c>
      <c r="D33">
        <v>-147.44506556463881</v>
      </c>
      <c r="E33">
        <v>-157.64508045540089</v>
      </c>
      <c r="F33">
        <v>-145.06921239338391</v>
      </c>
      <c r="G33">
        <v>-137.34351716321061</v>
      </c>
      <c r="H33">
        <v>-112.23544423649651</v>
      </c>
      <c r="I33">
        <v>-99.522379999999998</v>
      </c>
      <c r="J33">
        <v>-126.83762666666669</v>
      </c>
      <c r="K33">
        <v>-137.84143897435899</v>
      </c>
      <c r="L33">
        <v>-138.55437977987421</v>
      </c>
      <c r="M33">
        <v>-142.13403392201829</v>
      </c>
      <c r="N33">
        <v>-131.34171208333331</v>
      </c>
      <c r="O33">
        <v>-142.59624444444441</v>
      </c>
      <c r="P33">
        <v>-133.97440741433019</v>
      </c>
      <c r="Q33">
        <v>-139.98177408602149</v>
      </c>
      <c r="R33">
        <v>-145.67950396396401</v>
      </c>
      <c r="S33">
        <v>-171.68317110383779</v>
      </c>
      <c r="T33">
        <v>-200.1647286948216</v>
      </c>
      <c r="U33">
        <v>-225.94138208097479</v>
      </c>
      <c r="V33">
        <v>-232.8005871494253</v>
      </c>
      <c r="W33">
        <v>-251.69498316091961</v>
      </c>
      <c r="X33">
        <v>-205.7729852034775</v>
      </c>
      <c r="Y33">
        <v>-205.68269577730439</v>
      </c>
      <c r="Z33">
        <f t="shared" ref="Z33" si="28">SUM(B33:Y33)*106</f>
        <v>-410345.50791745115</v>
      </c>
    </row>
    <row r="34" spans="1:26" x14ac:dyDescent="0.35">
      <c r="A34" s="1" t="s">
        <v>54</v>
      </c>
      <c r="B34">
        <v>-179.8319801819373</v>
      </c>
      <c r="C34">
        <v>-167.24682109862781</v>
      </c>
      <c r="D34">
        <v>-148.61547301821241</v>
      </c>
      <c r="E34">
        <v>-146.4339626465692</v>
      </c>
      <c r="F34">
        <v>-145.42104802293119</v>
      </c>
      <c r="G34">
        <v>-167.99097935845879</v>
      </c>
      <c r="H34">
        <v>-162.2271725074396</v>
      </c>
      <c r="I34">
        <v>-155.45047492725831</v>
      </c>
      <c r="J34">
        <v>-126.9954214393961</v>
      </c>
      <c r="K34">
        <v>-129.01325817053541</v>
      </c>
      <c r="L34">
        <v>-134.88467628123831</v>
      </c>
      <c r="M34">
        <v>-138.92578394760511</v>
      </c>
      <c r="N34">
        <v>-127.68554446523321</v>
      </c>
      <c r="O34">
        <v>-138.45653845184279</v>
      </c>
      <c r="P34">
        <v>-137.72800404914759</v>
      </c>
      <c r="Q34">
        <v>-151.50500162944579</v>
      </c>
      <c r="R34">
        <v>-177.29339137716951</v>
      </c>
      <c r="S34">
        <v>-224.01659803697231</v>
      </c>
      <c r="T34">
        <v>-227.94558942828149</v>
      </c>
      <c r="U34">
        <v>-286.31902935649089</v>
      </c>
      <c r="V34">
        <v>-252.137643323828</v>
      </c>
      <c r="W34">
        <v>-286.522998336591</v>
      </c>
      <c r="X34">
        <v>-225.70965538903721</v>
      </c>
      <c r="Y34">
        <v>-218.58465335209479</v>
      </c>
      <c r="Z34">
        <f t="shared" ref="Z34" si="29">SUM(B34:Y34)*60</f>
        <v>-255416.50192778069</v>
      </c>
    </row>
    <row r="35" spans="1:26" x14ac:dyDescent="0.35">
      <c r="A35" s="1" t="s">
        <v>55</v>
      </c>
      <c r="B35">
        <v>-382.73384166348058</v>
      </c>
      <c r="C35">
        <v>-365.27289177100761</v>
      </c>
      <c r="D35">
        <v>-354.68304162068301</v>
      </c>
      <c r="E35">
        <v>-381.93037007226178</v>
      </c>
      <c r="F35">
        <v>-406.87604574171138</v>
      </c>
      <c r="G35">
        <v>-415.30273751513499</v>
      </c>
      <c r="H35">
        <v>-339.47480211576709</v>
      </c>
      <c r="I35">
        <v>-210.47588957040591</v>
      </c>
      <c r="J35">
        <v>-181.04590452668629</v>
      </c>
      <c r="K35">
        <v>-220.08985104498049</v>
      </c>
      <c r="L35">
        <v>-235.76641496998721</v>
      </c>
      <c r="M35">
        <v>-230.34623322727271</v>
      </c>
      <c r="N35">
        <v>-229.41306359659089</v>
      </c>
      <c r="O35">
        <v>-230.0982114216867</v>
      </c>
      <c r="P35">
        <v>-231.23299575526951</v>
      </c>
      <c r="Q35">
        <v>-222.30568987444951</v>
      </c>
      <c r="R35">
        <v>-215.5855378141321</v>
      </c>
      <c r="S35">
        <v>-209.02006958624531</v>
      </c>
      <c r="T35">
        <v>-223.09584956413141</v>
      </c>
      <c r="U35">
        <v>-251.3456529078365</v>
      </c>
      <c r="V35">
        <v>-327.7522584701349</v>
      </c>
      <c r="W35">
        <v>-349.24096871741301</v>
      </c>
      <c r="X35">
        <v>-369.73110067846898</v>
      </c>
      <c r="Y35">
        <v>-386.23793865605359</v>
      </c>
      <c r="Z35">
        <f t="shared" ref="Z35" si="30">SUM(B35:Y35)*199</f>
        <v>-1386842.4148154764</v>
      </c>
    </row>
    <row r="36" spans="1:26" x14ac:dyDescent="0.35">
      <c r="A36" s="1" t="s">
        <v>56</v>
      </c>
      <c r="B36">
        <v>-166.53318364986731</v>
      </c>
      <c r="C36">
        <v>-172.70849898831571</v>
      </c>
      <c r="D36">
        <v>-147.44506556463881</v>
      </c>
      <c r="E36">
        <v>-157.64508045540089</v>
      </c>
      <c r="F36">
        <v>-145.06921239338391</v>
      </c>
      <c r="G36">
        <v>-137.34351716321061</v>
      </c>
      <c r="H36">
        <v>-112.23544423649651</v>
      </c>
      <c r="I36">
        <v>-99.522379999999998</v>
      </c>
      <c r="J36">
        <v>-126.83762666666669</v>
      </c>
      <c r="K36">
        <v>-137.84143897435899</v>
      </c>
      <c r="L36">
        <v>-138.55437977987421</v>
      </c>
      <c r="M36">
        <v>-142.13403392201829</v>
      </c>
      <c r="N36">
        <v>-131.34171208333331</v>
      </c>
      <c r="O36">
        <v>-142.59624444444441</v>
      </c>
      <c r="P36">
        <v>-133.97440741433019</v>
      </c>
      <c r="Q36">
        <v>-139.98177408602149</v>
      </c>
      <c r="R36">
        <v>-145.67950396396401</v>
      </c>
      <c r="S36">
        <v>-171.68317110383779</v>
      </c>
      <c r="T36">
        <v>-200.1647286948216</v>
      </c>
      <c r="U36">
        <v>-225.94138208097479</v>
      </c>
      <c r="V36">
        <v>-232.8005871494253</v>
      </c>
      <c r="W36">
        <v>-251.69498316091961</v>
      </c>
      <c r="X36">
        <v>-205.7729852034775</v>
      </c>
      <c r="Y36">
        <v>-205.68269577730439</v>
      </c>
      <c r="Z36">
        <f t="shared" ref="Z36" si="31">SUM(B36:Y36)*106</f>
        <v>-410345.50791745115</v>
      </c>
    </row>
    <row r="37" spans="1:26" x14ac:dyDescent="0.35">
      <c r="A37" s="1" t="s">
        <v>57</v>
      </c>
      <c r="B37">
        <v>-179.8319801819373</v>
      </c>
      <c r="C37">
        <v>-167.24682109862781</v>
      </c>
      <c r="D37">
        <v>-148.61547301821241</v>
      </c>
      <c r="E37">
        <v>-146.4339626465692</v>
      </c>
      <c r="F37">
        <v>-145.42104802293119</v>
      </c>
      <c r="G37">
        <v>-167.99097935845879</v>
      </c>
      <c r="H37">
        <v>-162.2271725074396</v>
      </c>
      <c r="I37">
        <v>-155.45047492725831</v>
      </c>
      <c r="J37">
        <v>-126.9954214393961</v>
      </c>
      <c r="K37">
        <v>-129.01325817053541</v>
      </c>
      <c r="L37">
        <v>-134.88467628123831</v>
      </c>
      <c r="M37">
        <v>-138.92578394760511</v>
      </c>
      <c r="N37">
        <v>-127.68554446523321</v>
      </c>
      <c r="O37">
        <v>-138.45653845184279</v>
      </c>
      <c r="P37">
        <v>-137.72800404914759</v>
      </c>
      <c r="Q37">
        <v>-151.50500162944579</v>
      </c>
      <c r="R37">
        <v>-177.29339137716951</v>
      </c>
      <c r="S37">
        <v>-224.01659803697231</v>
      </c>
      <c r="T37">
        <v>-227.94558942828149</v>
      </c>
      <c r="U37">
        <v>-286.31902935649089</v>
      </c>
      <c r="V37">
        <v>-252.137643323828</v>
      </c>
      <c r="W37">
        <v>-286.522998336591</v>
      </c>
      <c r="X37">
        <v>-225.70965538903721</v>
      </c>
      <c r="Y37">
        <v>-218.58465335209479</v>
      </c>
      <c r="Z37">
        <f t="shared" ref="Z37" si="32">SUM(B37:Y37)*60</f>
        <v>-255416.50192778069</v>
      </c>
    </row>
    <row r="38" spans="1:26" x14ac:dyDescent="0.35">
      <c r="A38" s="1" t="s">
        <v>58</v>
      </c>
      <c r="B38">
        <v>-382.73384166348058</v>
      </c>
      <c r="C38">
        <v>-365.27289177100761</v>
      </c>
      <c r="D38">
        <v>-354.68304162068301</v>
      </c>
      <c r="E38">
        <v>-381.93037007226178</v>
      </c>
      <c r="F38">
        <v>-406.87604574171138</v>
      </c>
      <c r="G38">
        <v>-415.30273751513499</v>
      </c>
      <c r="H38">
        <v>-339.47480211576709</v>
      </c>
      <c r="I38">
        <v>-210.47588957040591</v>
      </c>
      <c r="J38">
        <v>-181.04590452668629</v>
      </c>
      <c r="K38">
        <v>-220.08985104498049</v>
      </c>
      <c r="L38">
        <v>-235.76641496998721</v>
      </c>
      <c r="M38">
        <v>-230.34623322727271</v>
      </c>
      <c r="N38">
        <v>-229.41306359659089</v>
      </c>
      <c r="O38">
        <v>-230.0982114216867</v>
      </c>
      <c r="P38">
        <v>-231.23299575526951</v>
      </c>
      <c r="Q38">
        <v>-222.30568987444951</v>
      </c>
      <c r="R38">
        <v>-215.5855378141321</v>
      </c>
      <c r="S38">
        <v>-209.02006958624531</v>
      </c>
      <c r="T38">
        <v>-223.09584956413141</v>
      </c>
      <c r="U38">
        <v>-251.3456529078365</v>
      </c>
      <c r="V38">
        <v>-327.7522584701349</v>
      </c>
      <c r="W38">
        <v>-349.24096871741301</v>
      </c>
      <c r="X38">
        <v>-369.73110067846898</v>
      </c>
      <c r="Y38">
        <v>-386.23793865605359</v>
      </c>
      <c r="Z38">
        <f t="shared" ref="Z38" si="33">SUM(B38:Y38)*199</f>
        <v>-1386842.4148154764</v>
      </c>
    </row>
    <row r="39" spans="1:26" x14ac:dyDescent="0.35">
      <c r="A39" s="1" t="s">
        <v>59</v>
      </c>
      <c r="B39">
        <v>-166.53318364986731</v>
      </c>
      <c r="C39">
        <v>-172.70849898831571</v>
      </c>
      <c r="D39">
        <v>-147.44506556463881</v>
      </c>
      <c r="E39">
        <v>-157.64508045540089</v>
      </c>
      <c r="F39">
        <v>-145.06921239338391</v>
      </c>
      <c r="G39">
        <v>-137.34351716321061</v>
      </c>
      <c r="H39">
        <v>-112.23544423649651</v>
      </c>
      <c r="I39">
        <v>-99.522379999999998</v>
      </c>
      <c r="J39">
        <v>-126.83762666666669</v>
      </c>
      <c r="K39">
        <v>-137.84143897435899</v>
      </c>
      <c r="L39">
        <v>-138.55437977987421</v>
      </c>
      <c r="M39">
        <v>-142.13403392201829</v>
      </c>
      <c r="N39">
        <v>-131.34171208333331</v>
      </c>
      <c r="O39">
        <v>-142.59624444444441</v>
      </c>
      <c r="P39">
        <v>-133.97440741433019</v>
      </c>
      <c r="Q39">
        <v>-139.98177408602149</v>
      </c>
      <c r="R39">
        <v>-145.67950396396401</v>
      </c>
      <c r="S39">
        <v>-171.68317110383779</v>
      </c>
      <c r="T39">
        <v>-200.1647286948216</v>
      </c>
      <c r="U39">
        <v>-225.94138208097479</v>
      </c>
      <c r="V39">
        <v>-232.8005871494253</v>
      </c>
      <c r="W39">
        <v>-251.69498316091961</v>
      </c>
      <c r="X39">
        <v>-205.7729852034775</v>
      </c>
      <c r="Y39">
        <v>-205.68269577730439</v>
      </c>
      <c r="Z39">
        <f t="shared" ref="Z39" si="34">SUM(B39:Y39)*106</f>
        <v>-410345.50791745115</v>
      </c>
    </row>
    <row r="40" spans="1:26" x14ac:dyDescent="0.35">
      <c r="A40" s="1" t="s">
        <v>60</v>
      </c>
      <c r="B40">
        <v>-179.8319801819373</v>
      </c>
      <c r="C40">
        <v>-167.24682109862781</v>
      </c>
      <c r="D40">
        <v>-148.61547301821241</v>
      </c>
      <c r="E40">
        <v>-146.4339626465692</v>
      </c>
      <c r="F40">
        <v>-145.42104802293119</v>
      </c>
      <c r="G40">
        <v>-167.99097935845879</v>
      </c>
      <c r="H40">
        <v>-162.2271725074396</v>
      </c>
      <c r="I40">
        <v>-155.45047492725831</v>
      </c>
      <c r="J40">
        <v>-126.9954214393961</v>
      </c>
      <c r="K40">
        <v>-129.01325817053541</v>
      </c>
      <c r="L40">
        <v>-134.88467628123831</v>
      </c>
      <c r="M40">
        <v>-138.92578394760511</v>
      </c>
      <c r="N40">
        <v>-127.68554446523321</v>
      </c>
      <c r="O40">
        <v>-138.45653845184279</v>
      </c>
      <c r="P40">
        <v>-137.72800404914759</v>
      </c>
      <c r="Q40">
        <v>-151.50500162944579</v>
      </c>
      <c r="R40">
        <v>-177.29339137716951</v>
      </c>
      <c r="S40">
        <v>-224.01659803697231</v>
      </c>
      <c r="T40">
        <v>-227.94558942828149</v>
      </c>
      <c r="U40">
        <v>-286.31902935649089</v>
      </c>
      <c r="V40">
        <v>-252.137643323828</v>
      </c>
      <c r="W40">
        <v>-286.522998336591</v>
      </c>
      <c r="X40">
        <v>-225.70965538903721</v>
      </c>
      <c r="Y40">
        <v>-218.58465335209479</v>
      </c>
      <c r="Z40">
        <f t="shared" ref="Z40" si="35">SUM(B40:Y40)*60</f>
        <v>-255416.50192778069</v>
      </c>
    </row>
    <row r="41" spans="1:26" x14ac:dyDescent="0.35">
      <c r="A41" s="1" t="s">
        <v>61</v>
      </c>
      <c r="B41">
        <v>-382.73384166348058</v>
      </c>
      <c r="C41">
        <v>-365.27289177100761</v>
      </c>
      <c r="D41">
        <v>-354.68304162068301</v>
      </c>
      <c r="E41">
        <v>-381.93037007226178</v>
      </c>
      <c r="F41">
        <v>-406.87604574171138</v>
      </c>
      <c r="G41">
        <v>-415.30273751513499</v>
      </c>
      <c r="H41">
        <v>-339.47480211576709</v>
      </c>
      <c r="I41">
        <v>-210.47588957040591</v>
      </c>
      <c r="J41">
        <v>-181.04590452668629</v>
      </c>
      <c r="K41">
        <v>-220.08985104498049</v>
      </c>
      <c r="L41">
        <v>-235.76641496998721</v>
      </c>
      <c r="M41">
        <v>-230.34623322727271</v>
      </c>
      <c r="N41">
        <v>-229.41306359659089</v>
      </c>
      <c r="O41">
        <v>-230.0982114216867</v>
      </c>
      <c r="P41">
        <v>-231.23299575526951</v>
      </c>
      <c r="Q41">
        <v>-222.30568987444951</v>
      </c>
      <c r="R41">
        <v>-215.5855378141321</v>
      </c>
      <c r="S41">
        <v>-209.02006958624531</v>
      </c>
      <c r="T41">
        <v>-223.09584956413141</v>
      </c>
      <c r="U41">
        <v>-251.3456529078365</v>
      </c>
      <c r="V41">
        <v>-327.7522584701349</v>
      </c>
      <c r="W41">
        <v>-349.24096871741301</v>
      </c>
      <c r="X41">
        <v>-369.73110067846898</v>
      </c>
      <c r="Y41">
        <v>-386.23793865605359</v>
      </c>
      <c r="Z41">
        <f t="shared" ref="Z41" si="36">SUM(B41:Y41)*199</f>
        <v>-1386842.4148154764</v>
      </c>
    </row>
    <row r="42" spans="1:26" x14ac:dyDescent="0.35">
      <c r="A42" s="1" t="s">
        <v>62</v>
      </c>
      <c r="B42">
        <v>-166.53318364986731</v>
      </c>
      <c r="C42">
        <v>-172.70849898831571</v>
      </c>
      <c r="D42">
        <v>-147.44506556463881</v>
      </c>
      <c r="E42">
        <v>-157.64508045540089</v>
      </c>
      <c r="F42">
        <v>-145.06921239338391</v>
      </c>
      <c r="G42">
        <v>-137.34351716321061</v>
      </c>
      <c r="H42">
        <v>-112.23544423649651</v>
      </c>
      <c r="I42">
        <v>-99.522379999999998</v>
      </c>
      <c r="J42">
        <v>-126.83762666666669</v>
      </c>
      <c r="K42">
        <v>-137.84143897435899</v>
      </c>
      <c r="L42">
        <v>-138.55437977987421</v>
      </c>
      <c r="M42">
        <v>-142.13403392201829</v>
      </c>
      <c r="N42">
        <v>-131.34171208333331</v>
      </c>
      <c r="O42">
        <v>-142.59624444444441</v>
      </c>
      <c r="P42">
        <v>-133.97440741433019</v>
      </c>
      <c r="Q42">
        <v>-139.98177408602149</v>
      </c>
      <c r="R42">
        <v>-145.67950396396401</v>
      </c>
      <c r="S42">
        <v>-171.68317110383779</v>
      </c>
      <c r="T42">
        <v>-200.1647286948216</v>
      </c>
      <c r="U42">
        <v>-225.94138208097479</v>
      </c>
      <c r="V42">
        <v>-232.8005871494253</v>
      </c>
      <c r="W42">
        <v>-251.69498316091961</v>
      </c>
      <c r="X42">
        <v>-205.7729852034775</v>
      </c>
      <c r="Y42">
        <v>-205.68269577730439</v>
      </c>
      <c r="Z42">
        <f t="shared" ref="Z42" si="37">SUM(B42:Y42)*106</f>
        <v>-410345.50791745115</v>
      </c>
    </row>
    <row r="43" spans="1:26" x14ac:dyDescent="0.35">
      <c r="A43" s="1" t="s">
        <v>63</v>
      </c>
      <c r="B43">
        <v>-179.8319801819373</v>
      </c>
      <c r="C43">
        <v>-167.24682109862781</v>
      </c>
      <c r="D43">
        <v>-148.61547301821241</v>
      </c>
      <c r="E43">
        <v>-146.4339626465692</v>
      </c>
      <c r="F43">
        <v>-145.42104802293119</v>
      </c>
      <c r="G43">
        <v>-167.99097935845879</v>
      </c>
      <c r="H43">
        <v>-162.2271725074396</v>
      </c>
      <c r="I43">
        <v>-155.45047492725831</v>
      </c>
      <c r="J43">
        <v>-126.9954214393961</v>
      </c>
      <c r="K43">
        <v>-129.01325817053541</v>
      </c>
      <c r="L43">
        <v>-134.88467628123831</v>
      </c>
      <c r="M43">
        <v>-138.92578394760511</v>
      </c>
      <c r="N43">
        <v>-127.68554446523321</v>
      </c>
      <c r="O43">
        <v>-138.45653845184279</v>
      </c>
      <c r="P43">
        <v>-137.72800404914759</v>
      </c>
      <c r="Q43">
        <v>-151.50500162944579</v>
      </c>
      <c r="R43">
        <v>-177.29339137716951</v>
      </c>
      <c r="S43">
        <v>-224.01659803697231</v>
      </c>
      <c r="T43">
        <v>-227.94558942828149</v>
      </c>
      <c r="U43">
        <v>-286.31902935649089</v>
      </c>
      <c r="V43">
        <v>-252.137643323828</v>
      </c>
      <c r="W43">
        <v>-286.522998336591</v>
      </c>
      <c r="X43">
        <v>-225.70965538903721</v>
      </c>
      <c r="Y43">
        <v>-218.58465335209479</v>
      </c>
      <c r="Z43">
        <f t="shared" ref="Z43" si="38">SUM(B43:Y43)*60</f>
        <v>-255416.50192778069</v>
      </c>
    </row>
    <row r="44" spans="1:26" x14ac:dyDescent="0.35">
      <c r="A44" s="1" t="s">
        <v>64</v>
      </c>
      <c r="B44">
        <v>-382.73384166348058</v>
      </c>
      <c r="C44">
        <v>-365.27289177100761</v>
      </c>
      <c r="D44">
        <v>-354.68304162068301</v>
      </c>
      <c r="E44">
        <v>-381.93037007226178</v>
      </c>
      <c r="F44">
        <v>-406.87604574171138</v>
      </c>
      <c r="G44">
        <v>-415.30273751513499</v>
      </c>
      <c r="H44">
        <v>-339.47480211576709</v>
      </c>
      <c r="I44">
        <v>-210.47588957040591</v>
      </c>
      <c r="J44">
        <v>-181.04590452668629</v>
      </c>
      <c r="K44">
        <v>-220.08985104498049</v>
      </c>
      <c r="L44">
        <v>-235.76641496998721</v>
      </c>
      <c r="M44">
        <v>-230.34623322727271</v>
      </c>
      <c r="N44">
        <v>-229.41306359659089</v>
      </c>
      <c r="O44">
        <v>-230.0982114216867</v>
      </c>
      <c r="P44">
        <v>-231.23299575526951</v>
      </c>
      <c r="Q44">
        <v>-222.30568987444951</v>
      </c>
      <c r="R44">
        <v>-215.5855378141321</v>
      </c>
      <c r="S44">
        <v>-209.02006958624531</v>
      </c>
      <c r="T44">
        <v>-223.09584956413141</v>
      </c>
      <c r="U44">
        <v>-251.3456529078365</v>
      </c>
      <c r="V44">
        <v>-327.7522584701349</v>
      </c>
      <c r="W44">
        <v>-349.24096871741301</v>
      </c>
      <c r="X44">
        <v>-369.73110067846898</v>
      </c>
      <c r="Y44">
        <v>-386.23793865605359</v>
      </c>
      <c r="Z44">
        <f t="shared" ref="Z44" si="39">SUM(B44:Y44)*199</f>
        <v>-1386842.4148154764</v>
      </c>
    </row>
    <row r="45" spans="1:26" x14ac:dyDescent="0.35">
      <c r="A45" s="1" t="s">
        <v>65</v>
      </c>
      <c r="B45">
        <v>-166.53318364986731</v>
      </c>
      <c r="C45">
        <v>-172.70849898831571</v>
      </c>
      <c r="D45">
        <v>-147.44506556463881</v>
      </c>
      <c r="E45">
        <v>-157.64508045540089</v>
      </c>
      <c r="F45">
        <v>-145.06921239338391</v>
      </c>
      <c r="G45">
        <v>-137.34351716321061</v>
      </c>
      <c r="H45">
        <v>-112.23544423649651</v>
      </c>
      <c r="I45">
        <v>-99.522379999999998</v>
      </c>
      <c r="J45">
        <v>-126.83762666666669</v>
      </c>
      <c r="K45">
        <v>-137.84143897435899</v>
      </c>
      <c r="L45">
        <v>-138.55437977987421</v>
      </c>
      <c r="M45">
        <v>-142.13403392201829</v>
      </c>
      <c r="N45">
        <v>-131.34171208333331</v>
      </c>
      <c r="O45">
        <v>-142.59624444444441</v>
      </c>
      <c r="P45">
        <v>-133.97440741433019</v>
      </c>
      <c r="Q45">
        <v>-139.98177408602149</v>
      </c>
      <c r="R45">
        <v>-145.67950396396401</v>
      </c>
      <c r="S45">
        <v>-171.68317110383779</v>
      </c>
      <c r="T45">
        <v>-200.1647286948216</v>
      </c>
      <c r="U45">
        <v>-225.94138208097479</v>
      </c>
      <c r="V45">
        <v>-232.8005871494253</v>
      </c>
      <c r="W45">
        <v>-251.69498316091961</v>
      </c>
      <c r="X45">
        <v>-205.7729852034775</v>
      </c>
      <c r="Y45">
        <v>-205.68269577730439</v>
      </c>
      <c r="Z45">
        <f t="shared" ref="Z45" si="40">SUM(B45:Y45)*106</f>
        <v>-410345.50791745115</v>
      </c>
    </row>
    <row r="46" spans="1:26" x14ac:dyDescent="0.35">
      <c r="A46" s="1" t="s">
        <v>66</v>
      </c>
      <c r="B46">
        <v>-179.8319801819373</v>
      </c>
      <c r="C46">
        <v>-167.24682109862781</v>
      </c>
      <c r="D46">
        <v>-148.61547301821241</v>
      </c>
      <c r="E46">
        <v>-146.4339626465692</v>
      </c>
      <c r="F46">
        <v>-145.42104802293119</v>
      </c>
      <c r="G46">
        <v>-167.99097935845879</v>
      </c>
      <c r="H46">
        <v>-162.2271725074396</v>
      </c>
      <c r="I46">
        <v>-155.45047492725831</v>
      </c>
      <c r="J46">
        <v>-126.9954214393961</v>
      </c>
      <c r="K46">
        <v>-129.01325817053541</v>
      </c>
      <c r="L46">
        <v>-134.88467628123831</v>
      </c>
      <c r="M46">
        <v>-138.92578394760511</v>
      </c>
      <c r="N46">
        <v>-127.68554446523321</v>
      </c>
      <c r="O46">
        <v>-138.45653845184279</v>
      </c>
      <c r="P46">
        <v>-137.72800404914759</v>
      </c>
      <c r="Q46">
        <v>-151.50500162944579</v>
      </c>
      <c r="R46">
        <v>-177.29339137716951</v>
      </c>
      <c r="S46">
        <v>-224.01659803697231</v>
      </c>
      <c r="T46">
        <v>-227.94558942828149</v>
      </c>
      <c r="U46">
        <v>-286.31902935649089</v>
      </c>
      <c r="V46">
        <v>-252.137643323828</v>
      </c>
      <c r="W46">
        <v>-286.522998336591</v>
      </c>
      <c r="X46">
        <v>-225.70965538903721</v>
      </c>
      <c r="Y46">
        <v>-218.58465335209479</v>
      </c>
      <c r="Z46">
        <f t="shared" ref="Z46" si="41">SUM(B46:Y46)*60</f>
        <v>-255416.50192778069</v>
      </c>
    </row>
    <row r="47" spans="1:26" x14ac:dyDescent="0.35">
      <c r="Z47">
        <f>SUM(Z2:Z46)</f>
        <v>-30789066.369910646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-382.73384166348058</v>
      </c>
      <c r="C2">
        <v>-365.27289177100761</v>
      </c>
      <c r="D2">
        <v>-354.68304162068301</v>
      </c>
      <c r="E2">
        <v>-381.93037007226178</v>
      </c>
      <c r="F2">
        <v>-406.87604574171138</v>
      </c>
      <c r="G2">
        <v>-415.30273751513499</v>
      </c>
      <c r="H2">
        <v>-339.47480211576709</v>
      </c>
      <c r="I2">
        <v>-210.47588957040591</v>
      </c>
      <c r="J2">
        <v>-11.949289354612519</v>
      </c>
      <c r="K2">
        <v>104.05556152618421</v>
      </c>
      <c r="L2">
        <v>181.8947995804632</v>
      </c>
      <c r="M2">
        <v>219.16730026555979</v>
      </c>
      <c r="N2">
        <v>207.93386081539319</v>
      </c>
      <c r="O2">
        <v>150.7019698410586</v>
      </c>
      <c r="P2">
        <v>90.565712416213103</v>
      </c>
      <c r="Q2">
        <v>-9.9906992145448044</v>
      </c>
      <c r="R2">
        <v>-149.86911794114971</v>
      </c>
      <c r="S2">
        <v>-209.02006958624531</v>
      </c>
      <c r="T2">
        <v>-223.09584956413141</v>
      </c>
      <c r="U2">
        <v>-251.3456529078365</v>
      </c>
      <c r="V2">
        <v>-327.7522584701349</v>
      </c>
      <c r="W2">
        <v>-349.24096871741301</v>
      </c>
      <c r="X2">
        <v>-369.73110067846898</v>
      </c>
      <c r="Y2">
        <v>-386.23793865605359</v>
      </c>
    </row>
    <row r="3" spans="1:25" x14ac:dyDescent="0.35">
      <c r="A3" s="1" t="s">
        <v>23</v>
      </c>
      <c r="B3">
        <v>-166.53318364986731</v>
      </c>
      <c r="C3">
        <v>-172.70849898831571</v>
      </c>
      <c r="D3">
        <v>-147.44506556463881</v>
      </c>
      <c r="E3">
        <v>-157.64508045540089</v>
      </c>
      <c r="F3">
        <v>-145.06921239338391</v>
      </c>
      <c r="G3">
        <v>-137.34351716321061</v>
      </c>
      <c r="H3">
        <v>-112.23544423649651</v>
      </c>
      <c r="I3">
        <v>-89.396632851415077</v>
      </c>
      <c r="J3">
        <v>-0.74659132625785674</v>
      </c>
      <c r="K3">
        <v>126.6237980382196</v>
      </c>
      <c r="L3">
        <v>232.28596552358499</v>
      </c>
      <c r="M3">
        <v>323.57102982798159</v>
      </c>
      <c r="N3">
        <v>348.00066226022022</v>
      </c>
      <c r="O3">
        <v>251.26607483228511</v>
      </c>
      <c r="P3">
        <v>184.48836122560689</v>
      </c>
      <c r="Q3">
        <v>70.095513649827581</v>
      </c>
      <c r="R3">
        <v>-100.1578341526431</v>
      </c>
      <c r="S3">
        <v>-171.68317110383779</v>
      </c>
      <c r="T3">
        <v>-200.1647286948216</v>
      </c>
      <c r="U3">
        <v>-225.94138208097479</v>
      </c>
      <c r="V3">
        <v>-232.8005871494253</v>
      </c>
      <c r="W3">
        <v>-251.69498316091961</v>
      </c>
      <c r="X3">
        <v>-205.7729852034775</v>
      </c>
      <c r="Y3">
        <v>-205.68269577730439</v>
      </c>
    </row>
    <row r="4" spans="1:25" x14ac:dyDescent="0.35">
      <c r="A4" s="1" t="s">
        <v>24</v>
      </c>
      <c r="B4">
        <v>-179.8319801819373</v>
      </c>
      <c r="C4">
        <v>-167.24682109862781</v>
      </c>
      <c r="D4">
        <v>-148.61547301821241</v>
      </c>
      <c r="E4">
        <v>-146.4339626465692</v>
      </c>
      <c r="F4">
        <v>-145.42104802293119</v>
      </c>
      <c r="G4">
        <v>-167.99097935845879</v>
      </c>
      <c r="H4">
        <v>-162.2271725074396</v>
      </c>
      <c r="I4">
        <v>-155.45047492725831</v>
      </c>
      <c r="J4">
        <v>-93.359180116672775</v>
      </c>
      <c r="K4">
        <v>-22.269491825882849</v>
      </c>
      <c r="L4">
        <v>27.590025260316139</v>
      </c>
      <c r="M4">
        <v>39.583876961840588</v>
      </c>
      <c r="N4">
        <v>44.132172379228592</v>
      </c>
      <c r="O4">
        <v>24.585127914039671</v>
      </c>
      <c r="P4">
        <v>-2.721440735106512</v>
      </c>
      <c r="Q4">
        <v>-86.162043251694385</v>
      </c>
      <c r="R4">
        <v>-177.29339137716951</v>
      </c>
      <c r="S4">
        <v>-224.01659803697231</v>
      </c>
      <c r="T4">
        <v>-227.94558942828149</v>
      </c>
      <c r="U4">
        <v>-286.31902935649089</v>
      </c>
      <c r="V4">
        <v>-252.137643323828</v>
      </c>
      <c r="W4">
        <v>-286.522998336591</v>
      </c>
      <c r="X4">
        <v>-225.70965538903721</v>
      </c>
      <c r="Y4">
        <v>-218.58465335209479</v>
      </c>
    </row>
    <row r="5" spans="1:25" x14ac:dyDescent="0.35">
      <c r="A5" s="1" t="s">
        <v>25</v>
      </c>
      <c r="B5">
        <v>-382.73384166348058</v>
      </c>
      <c r="C5">
        <v>-365.27289177100761</v>
      </c>
      <c r="D5">
        <v>-354.68304162068301</v>
      </c>
      <c r="E5">
        <v>-381.93037007226178</v>
      </c>
      <c r="F5">
        <v>-406.87604574171138</v>
      </c>
      <c r="G5">
        <v>-415.30273751513499</v>
      </c>
      <c r="H5">
        <v>-339.47480211576709</v>
      </c>
      <c r="I5">
        <v>-210.47588957040591</v>
      </c>
      <c r="J5">
        <v>-11.949289354612519</v>
      </c>
      <c r="K5">
        <v>104.05556152618421</v>
      </c>
      <c r="L5">
        <v>181.8947995804632</v>
      </c>
      <c r="M5">
        <v>219.16730026555979</v>
      </c>
      <c r="N5">
        <v>207.93386081539319</v>
      </c>
      <c r="O5">
        <v>150.7019698410586</v>
      </c>
      <c r="P5">
        <v>90.565712416213103</v>
      </c>
      <c r="Q5">
        <v>-9.9906992145448044</v>
      </c>
      <c r="R5">
        <v>-149.86911794114971</v>
      </c>
      <c r="S5">
        <v>-209.02006958624531</v>
      </c>
      <c r="T5">
        <v>-223.09584956413141</v>
      </c>
      <c r="U5">
        <v>-251.3456529078365</v>
      </c>
      <c r="V5">
        <v>-327.7522584701349</v>
      </c>
      <c r="W5">
        <v>-349.24096871741301</v>
      </c>
      <c r="X5">
        <v>-369.73110067846898</v>
      </c>
      <c r="Y5">
        <v>-386.23793865605359</v>
      </c>
    </row>
    <row r="6" spans="1:25" x14ac:dyDescent="0.35">
      <c r="A6" s="1" t="s">
        <v>26</v>
      </c>
      <c r="B6">
        <v>-166.53318364986731</v>
      </c>
      <c r="C6">
        <v>-172.70849898831571</v>
      </c>
      <c r="D6">
        <v>-147.44506556463881</v>
      </c>
      <c r="E6">
        <v>-157.64508045540089</v>
      </c>
      <c r="F6">
        <v>-145.06921239338391</v>
      </c>
      <c r="G6">
        <v>-137.34351716321061</v>
      </c>
      <c r="H6">
        <v>-112.23544423649651</v>
      </c>
      <c r="I6">
        <v>-89.396632851415077</v>
      </c>
      <c r="J6">
        <v>-0.74659132625785674</v>
      </c>
      <c r="K6">
        <v>126.6237980382196</v>
      </c>
      <c r="L6">
        <v>232.28596552358499</v>
      </c>
      <c r="M6">
        <v>323.57102982798159</v>
      </c>
      <c r="N6">
        <v>348.00066226022022</v>
      </c>
      <c r="O6">
        <v>251.26607483228511</v>
      </c>
      <c r="P6">
        <v>184.48836122560689</v>
      </c>
      <c r="Q6">
        <v>70.095513649827581</v>
      </c>
      <c r="R6">
        <v>-100.1578341526431</v>
      </c>
      <c r="S6">
        <v>-171.68317110383779</v>
      </c>
      <c r="T6">
        <v>-200.1647286948216</v>
      </c>
      <c r="U6">
        <v>-225.94138208097479</v>
      </c>
      <c r="V6">
        <v>-232.8005871494253</v>
      </c>
      <c r="W6">
        <v>-251.69498316091961</v>
      </c>
      <c r="X6">
        <v>-205.7729852034775</v>
      </c>
      <c r="Y6">
        <v>-205.68269577730439</v>
      </c>
    </row>
    <row r="7" spans="1:25" x14ac:dyDescent="0.35">
      <c r="A7" s="1" t="s">
        <v>27</v>
      </c>
      <c r="B7">
        <v>-179.8319801819373</v>
      </c>
      <c r="C7">
        <v>-167.24682109862781</v>
      </c>
      <c r="D7">
        <v>-148.61547301821241</v>
      </c>
      <c r="E7">
        <v>-146.4339626465692</v>
      </c>
      <c r="F7">
        <v>-145.42104802293119</v>
      </c>
      <c r="G7">
        <v>-167.99097935845879</v>
      </c>
      <c r="H7">
        <v>-162.2271725074396</v>
      </c>
      <c r="I7">
        <v>-155.45047492725831</v>
      </c>
      <c r="J7">
        <v>-93.359180116672775</v>
      </c>
      <c r="K7">
        <v>-22.269491825882849</v>
      </c>
      <c r="L7">
        <v>27.590025260316139</v>
      </c>
      <c r="M7">
        <v>39.583876961840588</v>
      </c>
      <c r="N7">
        <v>44.132172379228592</v>
      </c>
      <c r="O7">
        <v>24.585127914039671</v>
      </c>
      <c r="P7">
        <v>-2.721440735106512</v>
      </c>
      <c r="Q7">
        <v>-86.162043251694385</v>
      </c>
      <c r="R7">
        <v>-177.29339137716951</v>
      </c>
      <c r="S7">
        <v>-224.01659803697231</v>
      </c>
      <c r="T7">
        <v>-227.94558942828149</v>
      </c>
      <c r="U7">
        <v>-286.31902935649089</v>
      </c>
      <c r="V7">
        <v>-252.137643323828</v>
      </c>
      <c r="W7">
        <v>-286.522998336591</v>
      </c>
      <c r="X7">
        <v>-225.70965538903721</v>
      </c>
      <c r="Y7">
        <v>-218.58465335209479</v>
      </c>
    </row>
    <row r="8" spans="1:25" x14ac:dyDescent="0.35">
      <c r="A8" s="1" t="s">
        <v>28</v>
      </c>
      <c r="B8">
        <v>-382.73384166348058</v>
      </c>
      <c r="C8">
        <v>-365.27289177100761</v>
      </c>
      <c r="D8">
        <v>-354.68304162068301</v>
      </c>
      <c r="E8">
        <v>-381.93037007226178</v>
      </c>
      <c r="F8">
        <v>-406.87604574171138</v>
      </c>
      <c r="G8">
        <v>-415.30273751513499</v>
      </c>
      <c r="H8">
        <v>-339.47480211576709</v>
      </c>
      <c r="I8">
        <v>-210.47588957040591</v>
      </c>
      <c r="J8">
        <v>-11.949289354612519</v>
      </c>
      <c r="K8">
        <v>104.05556152618421</v>
      </c>
      <c r="L8">
        <v>181.8947995804632</v>
      </c>
      <c r="M8">
        <v>219.16730026555979</v>
      </c>
      <c r="N8">
        <v>207.93386081539319</v>
      </c>
      <c r="O8">
        <v>150.7019698410586</v>
      </c>
      <c r="P8">
        <v>90.565712416213103</v>
      </c>
      <c r="Q8">
        <v>-9.9906992145448044</v>
      </c>
      <c r="R8">
        <v>-149.86911794114971</v>
      </c>
      <c r="S8">
        <v>-209.02006958624531</v>
      </c>
      <c r="T8">
        <v>-223.09584956413141</v>
      </c>
      <c r="U8">
        <v>-251.3456529078365</v>
      </c>
      <c r="V8">
        <v>-327.7522584701349</v>
      </c>
      <c r="W8">
        <v>-349.24096871741301</v>
      </c>
      <c r="X8">
        <v>-369.73110067846898</v>
      </c>
      <c r="Y8">
        <v>-386.23793865605359</v>
      </c>
    </row>
    <row r="9" spans="1:25" x14ac:dyDescent="0.35">
      <c r="A9" s="1" t="s">
        <v>29</v>
      </c>
      <c r="B9">
        <v>-166.53318364986731</v>
      </c>
      <c r="C9">
        <v>-172.70849898831571</v>
      </c>
      <c r="D9">
        <v>-147.44506556463881</v>
      </c>
      <c r="E9">
        <v>-157.64508045540089</v>
      </c>
      <c r="F9">
        <v>-145.06921239338391</v>
      </c>
      <c r="G9">
        <v>-137.34351716321061</v>
      </c>
      <c r="H9">
        <v>-112.23544423649651</v>
      </c>
      <c r="I9">
        <v>-89.396632851415077</v>
      </c>
      <c r="J9">
        <v>-0.74659132625785674</v>
      </c>
      <c r="K9">
        <v>126.6237980382196</v>
      </c>
      <c r="L9">
        <v>232.28596552358499</v>
      </c>
      <c r="M9">
        <v>323.57102982798159</v>
      </c>
      <c r="N9">
        <v>348.00066226022022</v>
      </c>
      <c r="O9">
        <v>251.26607483228511</v>
      </c>
      <c r="P9">
        <v>184.48836122560689</v>
      </c>
      <c r="Q9">
        <v>70.095513649827581</v>
      </c>
      <c r="R9">
        <v>-100.1578341526431</v>
      </c>
      <c r="S9">
        <v>-171.68317110383779</v>
      </c>
      <c r="T9">
        <v>-200.1647286948216</v>
      </c>
      <c r="U9">
        <v>-225.94138208097479</v>
      </c>
      <c r="V9">
        <v>-232.8005871494253</v>
      </c>
      <c r="W9">
        <v>-251.69498316091961</v>
      </c>
      <c r="X9">
        <v>-205.7729852034775</v>
      </c>
      <c r="Y9">
        <v>-205.68269577730439</v>
      </c>
    </row>
    <row r="10" spans="1:25" x14ac:dyDescent="0.35">
      <c r="A10" s="1" t="s">
        <v>30</v>
      </c>
      <c r="B10">
        <v>-179.8319801819373</v>
      </c>
      <c r="C10">
        <v>-167.24682109862781</v>
      </c>
      <c r="D10">
        <v>-148.61547301821241</v>
      </c>
      <c r="E10">
        <v>-146.4339626465692</v>
      </c>
      <c r="F10">
        <v>-145.42104802293119</v>
      </c>
      <c r="G10">
        <v>-167.99097935845879</v>
      </c>
      <c r="H10">
        <v>-162.2271725074396</v>
      </c>
      <c r="I10">
        <v>-155.45047492725831</v>
      </c>
      <c r="J10">
        <v>-93.359180116672775</v>
      </c>
      <c r="K10">
        <v>-22.269491825882849</v>
      </c>
      <c r="L10">
        <v>27.590025260316139</v>
      </c>
      <c r="M10">
        <v>39.583876961840588</v>
      </c>
      <c r="N10">
        <v>44.132172379228592</v>
      </c>
      <c r="O10">
        <v>24.585127914039671</v>
      </c>
      <c r="P10">
        <v>-2.721440735106512</v>
      </c>
      <c r="Q10">
        <v>-86.162043251694385</v>
      </c>
      <c r="R10">
        <v>-177.29339137716951</v>
      </c>
      <c r="S10">
        <v>-224.01659803697231</v>
      </c>
      <c r="T10">
        <v>-227.94558942828149</v>
      </c>
      <c r="U10">
        <v>-286.31902935649089</v>
      </c>
      <c r="V10">
        <v>-252.137643323828</v>
      </c>
      <c r="W10">
        <v>-286.522998336591</v>
      </c>
      <c r="X10">
        <v>-225.70965538903721</v>
      </c>
      <c r="Y10">
        <v>-218.58465335209479</v>
      </c>
    </row>
    <row r="11" spans="1:25" x14ac:dyDescent="0.35">
      <c r="A11" s="1" t="s">
        <v>31</v>
      </c>
      <c r="B11">
        <v>-382.73384166348058</v>
      </c>
      <c r="C11">
        <v>-365.27289177100761</v>
      </c>
      <c r="D11">
        <v>-354.68304162068301</v>
      </c>
      <c r="E11">
        <v>-381.93037007226178</v>
      </c>
      <c r="F11">
        <v>-406.87604574171138</v>
      </c>
      <c r="G11">
        <v>-415.30273751513499</v>
      </c>
      <c r="H11">
        <v>-339.47480211576709</v>
      </c>
      <c r="I11">
        <v>-210.47588957040591</v>
      </c>
      <c r="J11">
        <v>-11.949289354612519</v>
      </c>
      <c r="K11">
        <v>104.05556152618421</v>
      </c>
      <c r="L11">
        <v>181.8947995804632</v>
      </c>
      <c r="M11">
        <v>219.16730026555979</v>
      </c>
      <c r="N11">
        <v>207.93386081539319</v>
      </c>
      <c r="O11">
        <v>150.7019698410586</v>
      </c>
      <c r="P11">
        <v>90.565712416213103</v>
      </c>
      <c r="Q11">
        <v>-9.9906992145448044</v>
      </c>
      <c r="R11">
        <v>-149.86911794114971</v>
      </c>
      <c r="S11">
        <v>-209.02006958624531</v>
      </c>
      <c r="T11">
        <v>-223.09584956413141</v>
      </c>
      <c r="U11">
        <v>-251.3456529078365</v>
      </c>
      <c r="V11">
        <v>-327.7522584701349</v>
      </c>
      <c r="W11">
        <v>-349.24096871741301</v>
      </c>
      <c r="X11">
        <v>-369.73110067846898</v>
      </c>
      <c r="Y11">
        <v>-386.23793865605359</v>
      </c>
    </row>
    <row r="12" spans="1:25" x14ac:dyDescent="0.35">
      <c r="A12" s="1" t="s">
        <v>32</v>
      </c>
      <c r="B12">
        <v>-166.53318364986731</v>
      </c>
      <c r="C12">
        <v>-172.70849898831571</v>
      </c>
      <c r="D12">
        <v>-147.44506556463881</v>
      </c>
      <c r="E12">
        <v>-157.64508045540089</v>
      </c>
      <c r="F12">
        <v>-145.06921239338391</v>
      </c>
      <c r="G12">
        <v>-137.34351716321061</v>
      </c>
      <c r="H12">
        <v>-112.23544423649651</v>
      </c>
      <c r="I12">
        <v>-89.396632851415077</v>
      </c>
      <c r="J12">
        <v>-0.74659132625785674</v>
      </c>
      <c r="K12">
        <v>126.6237980382196</v>
      </c>
      <c r="L12">
        <v>232.28596552358499</v>
      </c>
      <c r="M12">
        <v>323.57102982798159</v>
      </c>
      <c r="N12">
        <v>348.00066226022022</v>
      </c>
      <c r="O12">
        <v>251.26607483228511</v>
      </c>
      <c r="P12">
        <v>184.48836122560689</v>
      </c>
      <c r="Q12">
        <v>70.095513649827581</v>
      </c>
      <c r="R12">
        <v>-100.1578341526431</v>
      </c>
      <c r="S12">
        <v>-171.68317110383779</v>
      </c>
      <c r="T12">
        <v>-200.1647286948216</v>
      </c>
      <c r="U12">
        <v>-225.94138208097479</v>
      </c>
      <c r="V12">
        <v>-232.8005871494253</v>
      </c>
      <c r="W12">
        <v>-251.69498316091961</v>
      </c>
      <c r="X12">
        <v>-205.7729852034775</v>
      </c>
      <c r="Y12">
        <v>-205.68269577730439</v>
      </c>
    </row>
    <row r="13" spans="1:25" x14ac:dyDescent="0.35">
      <c r="A13" s="1" t="s">
        <v>33</v>
      </c>
      <c r="B13">
        <v>-179.8319801819373</v>
      </c>
      <c r="C13">
        <v>-167.24682109862781</v>
      </c>
      <c r="D13">
        <v>-148.61547301821241</v>
      </c>
      <c r="E13">
        <v>-146.4339626465692</v>
      </c>
      <c r="F13">
        <v>-145.42104802293119</v>
      </c>
      <c r="G13">
        <v>-167.99097935845879</v>
      </c>
      <c r="H13">
        <v>-162.2271725074396</v>
      </c>
      <c r="I13">
        <v>-155.45047492725831</v>
      </c>
      <c r="J13">
        <v>-93.359180116672775</v>
      </c>
      <c r="K13">
        <v>-22.269491825882849</v>
      </c>
      <c r="L13">
        <v>27.590025260316139</v>
      </c>
      <c r="M13">
        <v>39.583876961840588</v>
      </c>
      <c r="N13">
        <v>44.132172379228592</v>
      </c>
      <c r="O13">
        <v>24.585127914039671</v>
      </c>
      <c r="P13">
        <v>-2.721440735106512</v>
      </c>
      <c r="Q13">
        <v>-86.162043251694385</v>
      </c>
      <c r="R13">
        <v>-177.29339137716951</v>
      </c>
      <c r="S13">
        <v>-224.01659803697231</v>
      </c>
      <c r="T13">
        <v>-227.94558942828149</v>
      </c>
      <c r="U13">
        <v>-286.31902935649089</v>
      </c>
      <c r="V13">
        <v>-252.137643323828</v>
      </c>
      <c r="W13">
        <v>-286.522998336591</v>
      </c>
      <c r="X13">
        <v>-225.70965538903721</v>
      </c>
      <c r="Y13">
        <v>-218.58465335209479</v>
      </c>
    </row>
    <row r="14" spans="1:25" x14ac:dyDescent="0.35">
      <c r="A14" s="1" t="s">
        <v>34</v>
      </c>
      <c r="B14">
        <v>-382.73384166348058</v>
      </c>
      <c r="C14">
        <v>-365.27289177100761</v>
      </c>
      <c r="D14">
        <v>-354.68304162068301</v>
      </c>
      <c r="E14">
        <v>-381.93037007226178</v>
      </c>
      <c r="F14">
        <v>-406.87604574171138</v>
      </c>
      <c r="G14">
        <v>-415.30273751513499</v>
      </c>
      <c r="H14">
        <v>-339.47480211576709</v>
      </c>
      <c r="I14">
        <v>-210.47588957040591</v>
      </c>
      <c r="J14">
        <v>-11.949289354612519</v>
      </c>
      <c r="K14">
        <v>104.05556152618421</v>
      </c>
      <c r="L14">
        <v>181.8947995804632</v>
      </c>
      <c r="M14">
        <v>219.16730026555979</v>
      </c>
      <c r="N14">
        <v>207.93386081539319</v>
      </c>
      <c r="O14">
        <v>150.7019698410586</v>
      </c>
      <c r="P14">
        <v>90.565712416213103</v>
      </c>
      <c r="Q14">
        <v>-9.9906992145448044</v>
      </c>
      <c r="R14">
        <v>-149.86911794114971</v>
      </c>
      <c r="S14">
        <v>-209.02006958624531</v>
      </c>
      <c r="T14">
        <v>-223.09584956413141</v>
      </c>
      <c r="U14">
        <v>-251.3456529078365</v>
      </c>
      <c r="V14">
        <v>-327.7522584701349</v>
      </c>
      <c r="W14">
        <v>-349.24096871741301</v>
      </c>
      <c r="X14">
        <v>-369.73110067846898</v>
      </c>
      <c r="Y14">
        <v>-386.23793865605359</v>
      </c>
    </row>
    <row r="15" spans="1:25" x14ac:dyDescent="0.35">
      <c r="A15" s="1" t="s">
        <v>35</v>
      </c>
      <c r="B15">
        <v>-166.53318364986731</v>
      </c>
      <c r="C15">
        <v>-172.70849898831571</v>
      </c>
      <c r="D15">
        <v>-147.44506556463881</v>
      </c>
      <c r="E15">
        <v>-157.64508045540089</v>
      </c>
      <c r="F15">
        <v>-145.06921239338391</v>
      </c>
      <c r="G15">
        <v>-137.34351716321061</v>
      </c>
      <c r="H15">
        <v>-112.23544423649651</v>
      </c>
      <c r="I15">
        <v>-89.396632851415077</v>
      </c>
      <c r="J15">
        <v>-0.74659132625785674</v>
      </c>
      <c r="K15">
        <v>126.6237980382196</v>
      </c>
      <c r="L15">
        <v>232.28596552358499</v>
      </c>
      <c r="M15">
        <v>323.57102982798159</v>
      </c>
      <c r="N15">
        <v>348.00066226022022</v>
      </c>
      <c r="O15">
        <v>251.26607483228511</v>
      </c>
      <c r="P15">
        <v>184.48836122560689</v>
      </c>
      <c r="Q15">
        <v>70.095513649827581</v>
      </c>
      <c r="R15">
        <v>-100.1578341526431</v>
      </c>
      <c r="S15">
        <v>-171.68317110383779</v>
      </c>
      <c r="T15">
        <v>-200.1647286948216</v>
      </c>
      <c r="U15">
        <v>-225.94138208097479</v>
      </c>
      <c r="V15">
        <v>-232.8005871494253</v>
      </c>
      <c r="W15">
        <v>-251.69498316091961</v>
      </c>
      <c r="X15">
        <v>-205.7729852034775</v>
      </c>
      <c r="Y15">
        <v>-205.68269577730439</v>
      </c>
    </row>
    <row r="16" spans="1:25" x14ac:dyDescent="0.35">
      <c r="A16" s="1" t="s">
        <v>36</v>
      </c>
      <c r="B16">
        <v>-179.8319801819373</v>
      </c>
      <c r="C16">
        <v>-167.24682109862781</v>
      </c>
      <c r="D16">
        <v>-148.61547301821241</v>
      </c>
      <c r="E16">
        <v>-146.4339626465692</v>
      </c>
      <c r="F16">
        <v>-145.42104802293119</v>
      </c>
      <c r="G16">
        <v>-167.99097935845879</v>
      </c>
      <c r="H16">
        <v>-162.2271725074396</v>
      </c>
      <c r="I16">
        <v>-155.45047492725831</v>
      </c>
      <c r="J16">
        <v>-93.359180116672775</v>
      </c>
      <c r="K16">
        <v>-22.269491825882849</v>
      </c>
      <c r="L16">
        <v>27.590025260316139</v>
      </c>
      <c r="M16">
        <v>39.583876961840588</v>
      </c>
      <c r="N16">
        <v>44.132172379228592</v>
      </c>
      <c r="O16">
        <v>24.585127914039671</v>
      </c>
      <c r="P16">
        <v>-2.721440735106512</v>
      </c>
      <c r="Q16">
        <v>-86.162043251694385</v>
      </c>
      <c r="R16">
        <v>-177.29339137716951</v>
      </c>
      <c r="S16">
        <v>-224.01659803697231</v>
      </c>
      <c r="T16">
        <v>-227.94558942828149</v>
      </c>
      <c r="U16">
        <v>-286.31902935649089</v>
      </c>
      <c r="V16">
        <v>-252.137643323828</v>
      </c>
      <c r="W16">
        <v>-286.522998336591</v>
      </c>
      <c r="X16">
        <v>-225.70965538903721</v>
      </c>
      <c r="Y16">
        <v>-218.58465335209479</v>
      </c>
    </row>
    <row r="17" spans="1:25" x14ac:dyDescent="0.35">
      <c r="A17" s="1" t="s">
        <v>37</v>
      </c>
      <c r="B17">
        <v>-382.73384166348058</v>
      </c>
      <c r="C17">
        <v>-365.27289177100761</v>
      </c>
      <c r="D17">
        <v>-354.68304162068301</v>
      </c>
      <c r="E17">
        <v>-381.93037007226178</v>
      </c>
      <c r="F17">
        <v>-406.87604574171138</v>
      </c>
      <c r="G17">
        <v>-415.30273751513499</v>
      </c>
      <c r="H17">
        <v>-339.47480211576709</v>
      </c>
      <c r="I17">
        <v>-210.47588957040591</v>
      </c>
      <c r="J17">
        <v>-11.949289354612519</v>
      </c>
      <c r="K17">
        <v>104.05556152618421</v>
      </c>
      <c r="L17">
        <v>181.8947995804632</v>
      </c>
      <c r="M17">
        <v>219.16730026555979</v>
      </c>
      <c r="N17">
        <v>207.93386081539319</v>
      </c>
      <c r="O17">
        <v>150.7019698410586</v>
      </c>
      <c r="P17">
        <v>90.565712416213103</v>
      </c>
      <c r="Q17">
        <v>-9.9906992145448044</v>
      </c>
      <c r="R17">
        <v>-149.86911794114971</v>
      </c>
      <c r="S17">
        <v>-209.02006958624531</v>
      </c>
      <c r="T17">
        <v>-223.09584956413141</v>
      </c>
      <c r="U17">
        <v>-251.3456529078365</v>
      </c>
      <c r="V17">
        <v>-327.7522584701349</v>
      </c>
      <c r="W17">
        <v>-349.24096871741301</v>
      </c>
      <c r="X17">
        <v>-369.73110067846898</v>
      </c>
      <c r="Y17">
        <v>-386.23793865605359</v>
      </c>
    </row>
    <row r="18" spans="1:25" x14ac:dyDescent="0.35">
      <c r="A18" s="1" t="s">
        <v>38</v>
      </c>
      <c r="B18">
        <v>-166.53318364986731</v>
      </c>
      <c r="C18">
        <v>-172.70849898831571</v>
      </c>
      <c r="D18">
        <v>-147.44506556463881</v>
      </c>
      <c r="E18">
        <v>-157.64508045540089</v>
      </c>
      <c r="F18">
        <v>-145.06921239338391</v>
      </c>
      <c r="G18">
        <v>-137.34351716321061</v>
      </c>
      <c r="H18">
        <v>-112.23544423649651</v>
      </c>
      <c r="I18">
        <v>-89.396632851415077</v>
      </c>
      <c r="J18">
        <v>-0.74659132625785674</v>
      </c>
      <c r="K18">
        <v>126.6237980382196</v>
      </c>
      <c r="L18">
        <v>232.28596552358499</v>
      </c>
      <c r="M18">
        <v>323.57102982798159</v>
      </c>
      <c r="N18">
        <v>348.00066226022022</v>
      </c>
      <c r="O18">
        <v>251.26607483228511</v>
      </c>
      <c r="P18">
        <v>184.48836122560689</v>
      </c>
      <c r="Q18">
        <v>70.095513649827581</v>
      </c>
      <c r="R18">
        <v>-100.1578341526431</v>
      </c>
      <c r="S18">
        <v>-171.68317110383779</v>
      </c>
      <c r="T18">
        <v>-200.1647286948216</v>
      </c>
      <c r="U18">
        <v>-225.94138208097479</v>
      </c>
      <c r="V18">
        <v>-232.8005871494253</v>
      </c>
      <c r="W18">
        <v>-251.69498316091961</v>
      </c>
      <c r="X18">
        <v>-205.7729852034775</v>
      </c>
      <c r="Y18">
        <v>-205.68269577730439</v>
      </c>
    </row>
    <row r="19" spans="1:25" x14ac:dyDescent="0.35">
      <c r="A19" s="1" t="s">
        <v>39</v>
      </c>
      <c r="B19">
        <v>-179.8319801819373</v>
      </c>
      <c r="C19">
        <v>-167.24682109862781</v>
      </c>
      <c r="D19">
        <v>-148.61547301821241</v>
      </c>
      <c r="E19">
        <v>-146.4339626465692</v>
      </c>
      <c r="F19">
        <v>-145.42104802293119</v>
      </c>
      <c r="G19">
        <v>-167.99097935845879</v>
      </c>
      <c r="H19">
        <v>-162.2271725074396</v>
      </c>
      <c r="I19">
        <v>-155.45047492725831</v>
      </c>
      <c r="J19">
        <v>-93.359180116672775</v>
      </c>
      <c r="K19">
        <v>-22.269491825882849</v>
      </c>
      <c r="L19">
        <v>27.590025260316139</v>
      </c>
      <c r="M19">
        <v>39.583876961840588</v>
      </c>
      <c r="N19">
        <v>44.132172379228592</v>
      </c>
      <c r="O19">
        <v>24.585127914039671</v>
      </c>
      <c r="P19">
        <v>-2.721440735106512</v>
      </c>
      <c r="Q19">
        <v>-86.162043251694385</v>
      </c>
      <c r="R19">
        <v>-177.29339137716951</v>
      </c>
      <c r="S19">
        <v>-224.01659803697231</v>
      </c>
      <c r="T19">
        <v>-227.94558942828149</v>
      </c>
      <c r="U19">
        <v>-286.31902935649089</v>
      </c>
      <c r="V19">
        <v>-252.137643323828</v>
      </c>
      <c r="W19">
        <v>-286.522998336591</v>
      </c>
      <c r="X19">
        <v>-225.70965538903721</v>
      </c>
      <c r="Y19">
        <v>-218.58465335209479</v>
      </c>
    </row>
    <row r="20" spans="1:25" x14ac:dyDescent="0.35">
      <c r="A20" s="1" t="s">
        <v>40</v>
      </c>
      <c r="B20">
        <v>-382.73384166348058</v>
      </c>
      <c r="C20">
        <v>-365.27289177100761</v>
      </c>
      <c r="D20">
        <v>-354.68304162068301</v>
      </c>
      <c r="E20">
        <v>-381.93037007226178</v>
      </c>
      <c r="F20">
        <v>-406.87604574171138</v>
      </c>
      <c r="G20">
        <v>-415.30273751513499</v>
      </c>
      <c r="H20">
        <v>-339.47480211576709</v>
      </c>
      <c r="I20">
        <v>-210.47588957040591</v>
      </c>
      <c r="J20">
        <v>-11.949289354612519</v>
      </c>
      <c r="K20">
        <v>104.05556152618421</v>
      </c>
      <c r="L20">
        <v>181.8947995804632</v>
      </c>
      <c r="M20">
        <v>219.16730026555979</v>
      </c>
      <c r="N20">
        <v>207.93386081539319</v>
      </c>
      <c r="O20">
        <v>150.7019698410586</v>
      </c>
      <c r="P20">
        <v>90.565712416213103</v>
      </c>
      <c r="Q20">
        <v>-9.9906992145448044</v>
      </c>
      <c r="R20">
        <v>-149.86911794114971</v>
      </c>
      <c r="S20">
        <v>-209.02006958624531</v>
      </c>
      <c r="T20">
        <v>-223.09584956413141</v>
      </c>
      <c r="U20">
        <v>-251.3456529078365</v>
      </c>
      <c r="V20">
        <v>-327.7522584701349</v>
      </c>
      <c r="W20">
        <v>-349.24096871741301</v>
      </c>
      <c r="X20">
        <v>-369.73110067846898</v>
      </c>
      <c r="Y20">
        <v>-386.23793865605359</v>
      </c>
    </row>
    <row r="21" spans="1:25" x14ac:dyDescent="0.35">
      <c r="A21" s="1" t="s">
        <v>41</v>
      </c>
      <c r="B21">
        <v>-166.53318364986731</v>
      </c>
      <c r="C21">
        <v>-172.70849898831571</v>
      </c>
      <c r="D21">
        <v>-147.44506556463881</v>
      </c>
      <c r="E21">
        <v>-157.64508045540089</v>
      </c>
      <c r="F21">
        <v>-145.06921239338391</v>
      </c>
      <c r="G21">
        <v>-137.34351716321061</v>
      </c>
      <c r="H21">
        <v>-112.23544423649651</v>
      </c>
      <c r="I21">
        <v>-89.396632851415077</v>
      </c>
      <c r="J21">
        <v>-0.74659132625785674</v>
      </c>
      <c r="K21">
        <v>126.6237980382196</v>
      </c>
      <c r="L21">
        <v>232.28596552358499</v>
      </c>
      <c r="M21">
        <v>323.57102982798159</v>
      </c>
      <c r="N21">
        <v>348.00066226022022</v>
      </c>
      <c r="O21">
        <v>251.26607483228511</v>
      </c>
      <c r="P21">
        <v>184.48836122560689</v>
      </c>
      <c r="Q21">
        <v>70.095513649827581</v>
      </c>
      <c r="R21">
        <v>-100.1578341526431</v>
      </c>
      <c r="S21">
        <v>-171.68317110383779</v>
      </c>
      <c r="T21">
        <v>-200.1647286948216</v>
      </c>
      <c r="U21">
        <v>-225.94138208097479</v>
      </c>
      <c r="V21">
        <v>-232.8005871494253</v>
      </c>
      <c r="W21">
        <v>-251.69498316091961</v>
      </c>
      <c r="X21">
        <v>-205.7729852034775</v>
      </c>
      <c r="Y21">
        <v>-205.68269577730439</v>
      </c>
    </row>
    <row r="22" spans="1:25" x14ac:dyDescent="0.35">
      <c r="A22" s="1" t="s">
        <v>42</v>
      </c>
      <c r="B22">
        <v>-179.8319801819373</v>
      </c>
      <c r="C22">
        <v>-167.24682109862781</v>
      </c>
      <c r="D22">
        <v>-148.61547301821241</v>
      </c>
      <c r="E22">
        <v>-146.4339626465692</v>
      </c>
      <c r="F22">
        <v>-145.42104802293119</v>
      </c>
      <c r="G22">
        <v>-167.99097935845879</v>
      </c>
      <c r="H22">
        <v>-162.2271725074396</v>
      </c>
      <c r="I22">
        <v>-155.45047492725831</v>
      </c>
      <c r="J22">
        <v>-93.359180116672775</v>
      </c>
      <c r="K22">
        <v>-22.269491825882849</v>
      </c>
      <c r="L22">
        <v>27.590025260316139</v>
      </c>
      <c r="M22">
        <v>39.583876961840588</v>
      </c>
      <c r="N22">
        <v>44.132172379228592</v>
      </c>
      <c r="O22">
        <v>24.585127914039671</v>
      </c>
      <c r="P22">
        <v>-2.721440735106512</v>
      </c>
      <c r="Q22">
        <v>-86.162043251694385</v>
      </c>
      <c r="R22">
        <v>-177.29339137716951</v>
      </c>
      <c r="S22">
        <v>-224.01659803697231</v>
      </c>
      <c r="T22">
        <v>-227.94558942828149</v>
      </c>
      <c r="U22">
        <v>-286.31902935649089</v>
      </c>
      <c r="V22">
        <v>-252.137643323828</v>
      </c>
      <c r="W22">
        <v>-286.522998336591</v>
      </c>
      <c r="X22">
        <v>-225.70965538903721</v>
      </c>
      <c r="Y22">
        <v>-218.58465335209479</v>
      </c>
    </row>
    <row r="23" spans="1:25" x14ac:dyDescent="0.35">
      <c r="A23" s="1" t="s">
        <v>43</v>
      </c>
      <c r="B23">
        <v>-382.73384166348058</v>
      </c>
      <c r="C23">
        <v>-365.27289177100761</v>
      </c>
      <c r="D23">
        <v>-354.68304162068301</v>
      </c>
      <c r="E23">
        <v>-381.93037007226178</v>
      </c>
      <c r="F23">
        <v>-406.87604574171138</v>
      </c>
      <c r="G23">
        <v>-415.30273751513499</v>
      </c>
      <c r="H23">
        <v>-339.47480211576709</v>
      </c>
      <c r="I23">
        <v>-210.47588957040591</v>
      </c>
      <c r="J23">
        <v>-11.949289354612519</v>
      </c>
      <c r="K23">
        <v>104.05556152618421</v>
      </c>
      <c r="L23">
        <v>181.8947995804632</v>
      </c>
      <c r="M23">
        <v>219.16730026555979</v>
      </c>
      <c r="N23">
        <v>207.93386081539319</v>
      </c>
      <c r="O23">
        <v>150.7019698410586</v>
      </c>
      <c r="P23">
        <v>90.565712416213103</v>
      </c>
      <c r="Q23">
        <v>-9.9906992145448044</v>
      </c>
      <c r="R23">
        <v>-149.86911794114971</v>
      </c>
      <c r="S23">
        <v>-209.02006958624531</v>
      </c>
      <c r="T23">
        <v>-223.09584956413141</v>
      </c>
      <c r="U23">
        <v>-251.3456529078365</v>
      </c>
      <c r="V23">
        <v>-327.7522584701349</v>
      </c>
      <c r="W23">
        <v>-349.24096871741301</v>
      </c>
      <c r="X23">
        <v>-369.73110067846898</v>
      </c>
      <c r="Y23">
        <v>-386.23793865605359</v>
      </c>
    </row>
    <row r="24" spans="1:25" x14ac:dyDescent="0.35">
      <c r="A24" s="1" t="s">
        <v>44</v>
      </c>
      <c r="B24">
        <v>-166.53318364986731</v>
      </c>
      <c r="C24">
        <v>-172.70849898831571</v>
      </c>
      <c r="D24">
        <v>-147.44506556463881</v>
      </c>
      <c r="E24">
        <v>-157.64508045540089</v>
      </c>
      <c r="F24">
        <v>-145.06921239338391</v>
      </c>
      <c r="G24">
        <v>-137.34351716321061</v>
      </c>
      <c r="H24">
        <v>-112.23544423649651</v>
      </c>
      <c r="I24">
        <v>-89.396632851415077</v>
      </c>
      <c r="J24">
        <v>-0.74659132625785674</v>
      </c>
      <c r="K24">
        <v>126.6237980382196</v>
      </c>
      <c r="L24">
        <v>232.28596552358499</v>
      </c>
      <c r="M24">
        <v>323.57102982798159</v>
      </c>
      <c r="N24">
        <v>348.00066226022022</v>
      </c>
      <c r="O24">
        <v>251.26607483228511</v>
      </c>
      <c r="P24">
        <v>184.48836122560689</v>
      </c>
      <c r="Q24">
        <v>70.095513649827581</v>
      </c>
      <c r="R24">
        <v>-100.1578341526431</v>
      </c>
      <c r="S24">
        <v>-171.68317110383779</v>
      </c>
      <c r="T24">
        <v>-200.1647286948216</v>
      </c>
      <c r="U24">
        <v>-225.94138208097479</v>
      </c>
      <c r="V24">
        <v>-232.8005871494253</v>
      </c>
      <c r="W24">
        <v>-251.69498316091961</v>
      </c>
      <c r="X24">
        <v>-205.7729852034775</v>
      </c>
      <c r="Y24">
        <v>-205.68269577730439</v>
      </c>
    </row>
    <row r="25" spans="1:25" x14ac:dyDescent="0.35">
      <c r="A25" s="1" t="s">
        <v>45</v>
      </c>
      <c r="B25">
        <v>-179.8319801819373</v>
      </c>
      <c r="C25">
        <v>-167.24682109862781</v>
      </c>
      <c r="D25">
        <v>-148.61547301821241</v>
      </c>
      <c r="E25">
        <v>-146.4339626465692</v>
      </c>
      <c r="F25">
        <v>-145.42104802293119</v>
      </c>
      <c r="G25">
        <v>-167.99097935845879</v>
      </c>
      <c r="H25">
        <v>-162.2271725074396</v>
      </c>
      <c r="I25">
        <v>-155.45047492725831</v>
      </c>
      <c r="J25">
        <v>-93.359180116672775</v>
      </c>
      <c r="K25">
        <v>-22.269491825882849</v>
      </c>
      <c r="L25">
        <v>27.590025260316139</v>
      </c>
      <c r="M25">
        <v>39.583876961840588</v>
      </c>
      <c r="N25">
        <v>44.132172379228592</v>
      </c>
      <c r="O25">
        <v>24.585127914039671</v>
      </c>
      <c r="P25">
        <v>-2.721440735106512</v>
      </c>
      <c r="Q25">
        <v>-86.162043251694385</v>
      </c>
      <c r="R25">
        <v>-177.29339137716951</v>
      </c>
      <c r="S25">
        <v>-224.01659803697231</v>
      </c>
      <c r="T25">
        <v>-227.94558942828149</v>
      </c>
      <c r="U25">
        <v>-286.31902935649089</v>
      </c>
      <c r="V25">
        <v>-252.137643323828</v>
      </c>
      <c r="W25">
        <v>-286.522998336591</v>
      </c>
      <c r="X25">
        <v>-225.70965538903721</v>
      </c>
      <c r="Y25">
        <v>-218.58465335209479</v>
      </c>
    </row>
    <row r="26" spans="1:25" x14ac:dyDescent="0.35">
      <c r="A26" s="1" t="s">
        <v>46</v>
      </c>
      <c r="B26">
        <v>-382.73384166348058</v>
      </c>
      <c r="C26">
        <v>-365.27289177100761</v>
      </c>
      <c r="D26">
        <v>-354.68304162068301</v>
      </c>
      <c r="E26">
        <v>-381.93037007226178</v>
      </c>
      <c r="F26">
        <v>-406.87604574171138</v>
      </c>
      <c r="G26">
        <v>-415.30273751513499</v>
      </c>
      <c r="H26">
        <v>-339.47480211576709</v>
      </c>
      <c r="I26">
        <v>-210.47588957040591</v>
      </c>
      <c r="J26">
        <v>-11.949289354612519</v>
      </c>
      <c r="K26">
        <v>104.05556152618421</v>
      </c>
      <c r="L26">
        <v>181.8947995804632</v>
      </c>
      <c r="M26">
        <v>219.16730026555979</v>
      </c>
      <c r="N26">
        <v>207.93386081539319</v>
      </c>
      <c r="O26">
        <v>150.7019698410586</v>
      </c>
      <c r="P26">
        <v>90.565712416213103</v>
      </c>
      <c r="Q26">
        <v>-9.9906992145448044</v>
      </c>
      <c r="R26">
        <v>-149.86911794114971</v>
      </c>
      <c r="S26">
        <v>-209.02006958624531</v>
      </c>
      <c r="T26">
        <v>-223.09584956413141</v>
      </c>
      <c r="U26">
        <v>-251.3456529078365</v>
      </c>
      <c r="V26">
        <v>-327.7522584701349</v>
      </c>
      <c r="W26">
        <v>-349.24096871741301</v>
      </c>
      <c r="X26">
        <v>-369.73110067846898</v>
      </c>
      <c r="Y26">
        <v>-386.23793865605359</v>
      </c>
    </row>
    <row r="27" spans="1:25" x14ac:dyDescent="0.35">
      <c r="A27" s="1" t="s">
        <v>47</v>
      </c>
      <c r="B27">
        <v>-166.53318364986731</v>
      </c>
      <c r="C27">
        <v>-172.70849898831571</v>
      </c>
      <c r="D27">
        <v>-147.44506556463881</v>
      </c>
      <c r="E27">
        <v>-157.64508045540089</v>
      </c>
      <c r="F27">
        <v>-145.06921239338391</v>
      </c>
      <c r="G27">
        <v>-137.34351716321061</v>
      </c>
      <c r="H27">
        <v>-112.23544423649651</v>
      </c>
      <c r="I27">
        <v>-89.396632851415077</v>
      </c>
      <c r="J27">
        <v>-0.74659132625785674</v>
      </c>
      <c r="K27">
        <v>126.6237980382196</v>
      </c>
      <c r="L27">
        <v>232.28596552358499</v>
      </c>
      <c r="M27">
        <v>323.57102982798159</v>
      </c>
      <c r="N27">
        <v>348.00066226022022</v>
      </c>
      <c r="O27">
        <v>251.26607483228511</v>
      </c>
      <c r="P27">
        <v>184.48836122560689</v>
      </c>
      <c r="Q27">
        <v>70.095513649827581</v>
      </c>
      <c r="R27">
        <v>-100.1578341526431</v>
      </c>
      <c r="S27">
        <v>-171.68317110383779</v>
      </c>
      <c r="T27">
        <v>-200.1647286948216</v>
      </c>
      <c r="U27">
        <v>-225.94138208097479</v>
      </c>
      <c r="V27">
        <v>-232.8005871494253</v>
      </c>
      <c r="W27">
        <v>-251.69498316091961</v>
      </c>
      <c r="X27">
        <v>-205.7729852034775</v>
      </c>
      <c r="Y27">
        <v>-205.68269577730439</v>
      </c>
    </row>
    <row r="28" spans="1:25" x14ac:dyDescent="0.35">
      <c r="A28" s="1" t="s">
        <v>48</v>
      </c>
      <c r="B28">
        <v>-179.8319801819373</v>
      </c>
      <c r="C28">
        <v>-167.24682109862781</v>
      </c>
      <c r="D28">
        <v>-148.61547301821241</v>
      </c>
      <c r="E28">
        <v>-146.4339626465692</v>
      </c>
      <c r="F28">
        <v>-145.42104802293119</v>
      </c>
      <c r="G28">
        <v>-167.99097935845879</v>
      </c>
      <c r="H28">
        <v>-162.2271725074396</v>
      </c>
      <c r="I28">
        <v>-155.45047492725831</v>
      </c>
      <c r="J28">
        <v>-93.359180116672775</v>
      </c>
      <c r="K28">
        <v>-22.269491825882849</v>
      </c>
      <c r="L28">
        <v>27.590025260316139</v>
      </c>
      <c r="M28">
        <v>39.583876961840588</v>
      </c>
      <c r="N28">
        <v>44.132172379228592</v>
      </c>
      <c r="O28">
        <v>24.585127914039671</v>
      </c>
      <c r="P28">
        <v>-2.721440735106512</v>
      </c>
      <c r="Q28">
        <v>-86.162043251694385</v>
      </c>
      <c r="R28">
        <v>-177.29339137716951</v>
      </c>
      <c r="S28">
        <v>-224.01659803697231</v>
      </c>
      <c r="T28">
        <v>-227.94558942828149</v>
      </c>
      <c r="U28">
        <v>-286.31902935649089</v>
      </c>
      <c r="V28">
        <v>-252.137643323828</v>
      </c>
      <c r="W28">
        <v>-286.522998336591</v>
      </c>
      <c r="X28">
        <v>-225.70965538903721</v>
      </c>
      <c r="Y28">
        <v>-218.58465335209479</v>
      </c>
    </row>
    <row r="29" spans="1:25" x14ac:dyDescent="0.35">
      <c r="A29" s="1" t="s">
        <v>49</v>
      </c>
      <c r="B29">
        <v>-382.73384166348058</v>
      </c>
      <c r="C29">
        <v>-365.27289177100761</v>
      </c>
      <c r="D29">
        <v>-354.68304162068301</v>
      </c>
      <c r="E29">
        <v>-381.93037007226178</v>
      </c>
      <c r="F29">
        <v>-406.87604574171138</v>
      </c>
      <c r="G29">
        <v>-415.30273751513499</v>
      </c>
      <c r="H29">
        <v>-339.47480211576709</v>
      </c>
      <c r="I29">
        <v>-210.47588957040591</v>
      </c>
      <c r="J29">
        <v>-11.949289354612519</v>
      </c>
      <c r="K29">
        <v>104.05556152618421</v>
      </c>
      <c r="L29">
        <v>181.8947995804632</v>
      </c>
      <c r="M29">
        <v>219.16730026555979</v>
      </c>
      <c r="N29">
        <v>207.93386081539319</v>
      </c>
      <c r="O29">
        <v>150.7019698410586</v>
      </c>
      <c r="P29">
        <v>90.565712416213103</v>
      </c>
      <c r="Q29">
        <v>-9.9906992145448044</v>
      </c>
      <c r="R29">
        <v>-149.86911794114971</v>
      </c>
      <c r="S29">
        <v>-209.02006958624531</v>
      </c>
      <c r="T29">
        <v>-223.09584956413141</v>
      </c>
      <c r="U29">
        <v>-251.3456529078365</v>
      </c>
      <c r="V29">
        <v>-327.7522584701349</v>
      </c>
      <c r="W29">
        <v>-349.24096871741301</v>
      </c>
      <c r="X29">
        <v>-369.73110067846898</v>
      </c>
      <c r="Y29">
        <v>-386.23793865605359</v>
      </c>
    </row>
    <row r="30" spans="1:25" x14ac:dyDescent="0.35">
      <c r="A30" s="1" t="s">
        <v>50</v>
      </c>
      <c r="B30">
        <v>-166.53318364986731</v>
      </c>
      <c r="C30">
        <v>-172.70849898831571</v>
      </c>
      <c r="D30">
        <v>-147.44506556463881</v>
      </c>
      <c r="E30">
        <v>-157.64508045540089</v>
      </c>
      <c r="F30">
        <v>-145.06921239338391</v>
      </c>
      <c r="G30">
        <v>-137.34351716321061</v>
      </c>
      <c r="H30">
        <v>-112.23544423649651</v>
      </c>
      <c r="I30">
        <v>-89.396632851415077</v>
      </c>
      <c r="J30">
        <v>-0.74659132625785674</v>
      </c>
      <c r="K30">
        <v>126.6237980382196</v>
      </c>
      <c r="L30">
        <v>232.28596552358499</v>
      </c>
      <c r="M30">
        <v>323.57102982798159</v>
      </c>
      <c r="N30">
        <v>348.00066226022022</v>
      </c>
      <c r="O30">
        <v>251.26607483228511</v>
      </c>
      <c r="P30">
        <v>184.48836122560689</v>
      </c>
      <c r="Q30">
        <v>70.095513649827581</v>
      </c>
      <c r="R30">
        <v>-100.1578341526431</v>
      </c>
      <c r="S30">
        <v>-171.68317110383779</v>
      </c>
      <c r="T30">
        <v>-200.1647286948216</v>
      </c>
      <c r="U30">
        <v>-225.94138208097479</v>
      </c>
      <c r="V30">
        <v>-232.8005871494253</v>
      </c>
      <c r="W30">
        <v>-251.69498316091961</v>
      </c>
      <c r="X30">
        <v>-205.7729852034775</v>
      </c>
      <c r="Y30">
        <v>-205.68269577730439</v>
      </c>
    </row>
    <row r="31" spans="1:25" x14ac:dyDescent="0.35">
      <c r="A31" s="1" t="s">
        <v>51</v>
      </c>
      <c r="B31">
        <v>-179.8319801819373</v>
      </c>
      <c r="C31">
        <v>-167.24682109862781</v>
      </c>
      <c r="D31">
        <v>-148.61547301821241</v>
      </c>
      <c r="E31">
        <v>-146.4339626465692</v>
      </c>
      <c r="F31">
        <v>-145.42104802293119</v>
      </c>
      <c r="G31">
        <v>-167.99097935845879</v>
      </c>
      <c r="H31">
        <v>-162.2271725074396</v>
      </c>
      <c r="I31">
        <v>-155.45047492725831</v>
      </c>
      <c r="J31">
        <v>-93.359180116672775</v>
      </c>
      <c r="K31">
        <v>-22.269491825882849</v>
      </c>
      <c r="L31">
        <v>27.590025260316139</v>
      </c>
      <c r="M31">
        <v>39.583876961840588</v>
      </c>
      <c r="N31">
        <v>44.132172379228592</v>
      </c>
      <c r="O31">
        <v>24.585127914039671</v>
      </c>
      <c r="P31">
        <v>-2.721440735106512</v>
      </c>
      <c r="Q31">
        <v>-86.162043251694385</v>
      </c>
      <c r="R31">
        <v>-177.29339137716951</v>
      </c>
      <c r="S31">
        <v>-224.01659803697231</v>
      </c>
      <c r="T31">
        <v>-227.94558942828149</v>
      </c>
      <c r="U31">
        <v>-286.31902935649089</v>
      </c>
      <c r="V31">
        <v>-252.137643323828</v>
      </c>
      <c r="W31">
        <v>-286.522998336591</v>
      </c>
      <c r="X31">
        <v>-225.70965538903721</v>
      </c>
      <c r="Y31">
        <v>-218.58465335209479</v>
      </c>
    </row>
    <row r="32" spans="1:25" x14ac:dyDescent="0.35">
      <c r="A32" s="1" t="s">
        <v>52</v>
      </c>
      <c r="B32">
        <v>-382.73384166348058</v>
      </c>
      <c r="C32">
        <v>-365.27289177100761</v>
      </c>
      <c r="D32">
        <v>-354.68304162068301</v>
      </c>
      <c r="E32">
        <v>-381.93037007226178</v>
      </c>
      <c r="F32">
        <v>-406.87604574171138</v>
      </c>
      <c r="G32">
        <v>-415.30273751513499</v>
      </c>
      <c r="H32">
        <v>-339.47480211576709</v>
      </c>
      <c r="I32">
        <v>-210.47588957040591</v>
      </c>
      <c r="J32">
        <v>-11.949289354612519</v>
      </c>
      <c r="K32">
        <v>104.05556152618421</v>
      </c>
      <c r="L32">
        <v>181.8947995804632</v>
      </c>
      <c r="M32">
        <v>219.16730026555979</v>
      </c>
      <c r="N32">
        <v>207.93386081539319</v>
      </c>
      <c r="O32">
        <v>150.7019698410586</v>
      </c>
      <c r="P32">
        <v>90.565712416213103</v>
      </c>
      <c r="Q32">
        <v>-9.9906992145448044</v>
      </c>
      <c r="R32">
        <v>-149.86911794114971</v>
      </c>
      <c r="S32">
        <v>-209.02006958624531</v>
      </c>
      <c r="T32">
        <v>-223.09584956413141</v>
      </c>
      <c r="U32">
        <v>-251.3456529078365</v>
      </c>
      <c r="V32">
        <v>-327.7522584701349</v>
      </c>
      <c r="W32">
        <v>-349.24096871741301</v>
      </c>
      <c r="X32">
        <v>-369.73110067846898</v>
      </c>
      <c r="Y32">
        <v>-386.23793865605359</v>
      </c>
    </row>
    <row r="33" spans="1:25" x14ac:dyDescent="0.35">
      <c r="A33" s="1" t="s">
        <v>53</v>
      </c>
      <c r="B33">
        <v>-166.53318364986731</v>
      </c>
      <c r="C33">
        <v>-172.70849898831571</v>
      </c>
      <c r="D33">
        <v>-147.44506556463881</v>
      </c>
      <c r="E33">
        <v>-157.64508045540089</v>
      </c>
      <c r="F33">
        <v>-145.06921239338391</v>
      </c>
      <c r="G33">
        <v>-137.34351716321061</v>
      </c>
      <c r="H33">
        <v>-112.23544423649651</v>
      </c>
      <c r="I33">
        <v>-89.396632851415077</v>
      </c>
      <c r="J33">
        <v>-0.74659132625785674</v>
      </c>
      <c r="K33">
        <v>126.6237980382196</v>
      </c>
      <c r="L33">
        <v>232.28596552358499</v>
      </c>
      <c r="M33">
        <v>323.57102982798159</v>
      </c>
      <c r="N33">
        <v>348.00066226022022</v>
      </c>
      <c r="O33">
        <v>251.26607483228511</v>
      </c>
      <c r="P33">
        <v>184.48836122560689</v>
      </c>
      <c r="Q33">
        <v>70.095513649827581</v>
      </c>
      <c r="R33">
        <v>-100.1578341526431</v>
      </c>
      <c r="S33">
        <v>-171.68317110383779</v>
      </c>
      <c r="T33">
        <v>-200.1647286948216</v>
      </c>
      <c r="U33">
        <v>-225.94138208097479</v>
      </c>
      <c r="V33">
        <v>-232.8005871494253</v>
      </c>
      <c r="W33">
        <v>-251.69498316091961</v>
      </c>
      <c r="X33">
        <v>-205.7729852034775</v>
      </c>
      <c r="Y33">
        <v>-205.68269577730439</v>
      </c>
    </row>
    <row r="34" spans="1:25" x14ac:dyDescent="0.35">
      <c r="A34" s="1" t="s">
        <v>54</v>
      </c>
      <c r="B34">
        <v>-179.8319801819373</v>
      </c>
      <c r="C34">
        <v>-167.24682109862781</v>
      </c>
      <c r="D34">
        <v>-148.61547301821241</v>
      </c>
      <c r="E34">
        <v>-146.4339626465692</v>
      </c>
      <c r="F34">
        <v>-145.42104802293119</v>
      </c>
      <c r="G34">
        <v>-167.99097935845879</v>
      </c>
      <c r="H34">
        <v>-162.2271725074396</v>
      </c>
      <c r="I34">
        <v>-155.45047492725831</v>
      </c>
      <c r="J34">
        <v>-93.359180116672775</v>
      </c>
      <c r="K34">
        <v>-22.269491825882849</v>
      </c>
      <c r="L34">
        <v>27.590025260316139</v>
      </c>
      <c r="M34">
        <v>39.583876961840588</v>
      </c>
      <c r="N34">
        <v>44.132172379228592</v>
      </c>
      <c r="O34">
        <v>24.585127914039671</v>
      </c>
      <c r="P34">
        <v>-2.721440735106512</v>
      </c>
      <c r="Q34">
        <v>-86.162043251694385</v>
      </c>
      <c r="R34">
        <v>-177.29339137716951</v>
      </c>
      <c r="S34">
        <v>-224.01659803697231</v>
      </c>
      <c r="T34">
        <v>-227.94558942828149</v>
      </c>
      <c r="U34">
        <v>-286.31902935649089</v>
      </c>
      <c r="V34">
        <v>-252.137643323828</v>
      </c>
      <c r="W34">
        <v>-286.522998336591</v>
      </c>
      <c r="X34">
        <v>-225.70965538903721</v>
      </c>
      <c r="Y34">
        <v>-218.58465335209479</v>
      </c>
    </row>
    <row r="35" spans="1:25" x14ac:dyDescent="0.35">
      <c r="A35" s="1" t="s">
        <v>55</v>
      </c>
      <c r="B35">
        <v>-382.73384166348058</v>
      </c>
      <c r="C35">
        <v>-365.27289177100761</v>
      </c>
      <c r="D35">
        <v>-354.68304162068301</v>
      </c>
      <c r="E35">
        <v>-381.93037007226178</v>
      </c>
      <c r="F35">
        <v>-406.87604574171138</v>
      </c>
      <c r="G35">
        <v>-415.30273751513499</v>
      </c>
      <c r="H35">
        <v>-339.47480211576709</v>
      </c>
      <c r="I35">
        <v>-210.47588957040591</v>
      </c>
      <c r="J35">
        <v>-11.949289354612519</v>
      </c>
      <c r="K35">
        <v>104.05556152618421</v>
      </c>
      <c r="L35">
        <v>181.8947995804632</v>
      </c>
      <c r="M35">
        <v>219.16730026555979</v>
      </c>
      <c r="N35">
        <v>207.93386081539319</v>
      </c>
      <c r="O35">
        <v>150.7019698410586</v>
      </c>
      <c r="P35">
        <v>90.565712416213103</v>
      </c>
      <c r="Q35">
        <v>-9.9906992145448044</v>
      </c>
      <c r="R35">
        <v>-149.86911794114971</v>
      </c>
      <c r="S35">
        <v>-209.02006958624531</v>
      </c>
      <c r="T35">
        <v>-223.09584956413141</v>
      </c>
      <c r="U35">
        <v>-251.3456529078365</v>
      </c>
      <c r="V35">
        <v>-327.7522584701349</v>
      </c>
      <c r="W35">
        <v>-349.24096871741301</v>
      </c>
      <c r="X35">
        <v>-369.73110067846898</v>
      </c>
      <c r="Y35">
        <v>-386.23793865605359</v>
      </c>
    </row>
    <row r="36" spans="1:25" x14ac:dyDescent="0.35">
      <c r="A36" s="1" t="s">
        <v>56</v>
      </c>
      <c r="B36">
        <v>-166.53318364986731</v>
      </c>
      <c r="C36">
        <v>-172.70849898831571</v>
      </c>
      <c r="D36">
        <v>-147.44506556463881</v>
      </c>
      <c r="E36">
        <v>-157.64508045540089</v>
      </c>
      <c r="F36">
        <v>-145.06921239338391</v>
      </c>
      <c r="G36">
        <v>-137.34351716321061</v>
      </c>
      <c r="H36">
        <v>-112.23544423649651</v>
      </c>
      <c r="I36">
        <v>-89.396632851415077</v>
      </c>
      <c r="J36">
        <v>-0.74659132625785674</v>
      </c>
      <c r="K36">
        <v>126.6237980382196</v>
      </c>
      <c r="L36">
        <v>232.28596552358499</v>
      </c>
      <c r="M36">
        <v>323.57102982798159</v>
      </c>
      <c r="N36">
        <v>348.00066226022022</v>
      </c>
      <c r="O36">
        <v>251.26607483228511</v>
      </c>
      <c r="P36">
        <v>184.48836122560689</v>
      </c>
      <c r="Q36">
        <v>70.095513649827581</v>
      </c>
      <c r="R36">
        <v>-100.1578341526431</v>
      </c>
      <c r="S36">
        <v>-171.68317110383779</v>
      </c>
      <c r="T36">
        <v>-200.1647286948216</v>
      </c>
      <c r="U36">
        <v>-225.94138208097479</v>
      </c>
      <c r="V36">
        <v>-232.8005871494253</v>
      </c>
      <c r="W36">
        <v>-251.69498316091961</v>
      </c>
      <c r="X36">
        <v>-205.7729852034775</v>
      </c>
      <c r="Y36">
        <v>-205.68269577730439</v>
      </c>
    </row>
    <row r="37" spans="1:25" x14ac:dyDescent="0.35">
      <c r="A37" s="1" t="s">
        <v>57</v>
      </c>
      <c r="B37">
        <v>-179.8319801819373</v>
      </c>
      <c r="C37">
        <v>-167.24682109862781</v>
      </c>
      <c r="D37">
        <v>-148.61547301821241</v>
      </c>
      <c r="E37">
        <v>-146.4339626465692</v>
      </c>
      <c r="F37">
        <v>-145.42104802293119</v>
      </c>
      <c r="G37">
        <v>-167.99097935845879</v>
      </c>
      <c r="H37">
        <v>-162.2271725074396</v>
      </c>
      <c r="I37">
        <v>-155.45047492725831</v>
      </c>
      <c r="J37">
        <v>-93.359180116672775</v>
      </c>
      <c r="K37">
        <v>-22.269491825882849</v>
      </c>
      <c r="L37">
        <v>27.590025260316139</v>
      </c>
      <c r="M37">
        <v>39.583876961840588</v>
      </c>
      <c r="N37">
        <v>44.132172379228592</v>
      </c>
      <c r="O37">
        <v>24.585127914039671</v>
      </c>
      <c r="P37">
        <v>-2.721440735106512</v>
      </c>
      <c r="Q37">
        <v>-86.162043251694385</v>
      </c>
      <c r="R37">
        <v>-177.29339137716951</v>
      </c>
      <c r="S37">
        <v>-224.01659803697231</v>
      </c>
      <c r="T37">
        <v>-227.94558942828149</v>
      </c>
      <c r="U37">
        <v>-286.31902935649089</v>
      </c>
      <c r="V37">
        <v>-252.137643323828</v>
      </c>
      <c r="W37">
        <v>-286.522998336591</v>
      </c>
      <c r="X37">
        <v>-225.70965538903721</v>
      </c>
      <c r="Y37">
        <v>-218.58465335209479</v>
      </c>
    </row>
    <row r="38" spans="1:25" x14ac:dyDescent="0.35">
      <c r="A38" s="1" t="s">
        <v>58</v>
      </c>
      <c r="B38">
        <v>-382.73384166348058</v>
      </c>
      <c r="C38">
        <v>-365.27289177100761</v>
      </c>
      <c r="D38">
        <v>-354.68304162068301</v>
      </c>
      <c r="E38">
        <v>-381.93037007226178</v>
      </c>
      <c r="F38">
        <v>-406.87604574171138</v>
      </c>
      <c r="G38">
        <v>-415.30273751513499</v>
      </c>
      <c r="H38">
        <v>-339.47480211576709</v>
      </c>
      <c r="I38">
        <v>-210.47588957040591</v>
      </c>
      <c r="J38">
        <v>-11.949289354612519</v>
      </c>
      <c r="K38">
        <v>104.05556152618421</v>
      </c>
      <c r="L38">
        <v>181.8947995804632</v>
      </c>
      <c r="M38">
        <v>219.16730026555979</v>
      </c>
      <c r="N38">
        <v>207.93386081539319</v>
      </c>
      <c r="O38">
        <v>150.7019698410586</v>
      </c>
      <c r="P38">
        <v>90.565712416213103</v>
      </c>
      <c r="Q38">
        <v>-9.9906992145448044</v>
      </c>
      <c r="R38">
        <v>-149.86911794114971</v>
      </c>
      <c r="S38">
        <v>-209.02006958624531</v>
      </c>
      <c r="T38">
        <v>-223.09584956413141</v>
      </c>
      <c r="U38">
        <v>-251.3456529078365</v>
      </c>
      <c r="V38">
        <v>-327.7522584701349</v>
      </c>
      <c r="W38">
        <v>-349.24096871741301</v>
      </c>
      <c r="X38">
        <v>-369.73110067846898</v>
      </c>
      <c r="Y38">
        <v>-386.23793865605359</v>
      </c>
    </row>
    <row r="39" spans="1:25" x14ac:dyDescent="0.35">
      <c r="A39" s="1" t="s">
        <v>59</v>
      </c>
      <c r="B39">
        <v>-166.53318364986731</v>
      </c>
      <c r="C39">
        <v>-172.70849898831571</v>
      </c>
      <c r="D39">
        <v>-147.44506556463881</v>
      </c>
      <c r="E39">
        <v>-157.64508045540089</v>
      </c>
      <c r="F39">
        <v>-145.06921239338391</v>
      </c>
      <c r="G39">
        <v>-137.34351716321061</v>
      </c>
      <c r="H39">
        <v>-112.23544423649651</v>
      </c>
      <c r="I39">
        <v>-89.396632851415077</v>
      </c>
      <c r="J39">
        <v>-0.74659132625785674</v>
      </c>
      <c r="K39">
        <v>126.6237980382196</v>
      </c>
      <c r="L39">
        <v>232.28596552358499</v>
      </c>
      <c r="M39">
        <v>323.57102982798159</v>
      </c>
      <c r="N39">
        <v>348.00066226022022</v>
      </c>
      <c r="O39">
        <v>251.26607483228511</v>
      </c>
      <c r="P39">
        <v>184.48836122560689</v>
      </c>
      <c r="Q39">
        <v>70.095513649827581</v>
      </c>
      <c r="R39">
        <v>-100.1578341526431</v>
      </c>
      <c r="S39">
        <v>-171.68317110383779</v>
      </c>
      <c r="T39">
        <v>-200.1647286948216</v>
      </c>
      <c r="U39">
        <v>-225.94138208097479</v>
      </c>
      <c r="V39">
        <v>-232.8005871494253</v>
      </c>
      <c r="W39">
        <v>-251.69498316091961</v>
      </c>
      <c r="X39">
        <v>-205.7729852034775</v>
      </c>
      <c r="Y39">
        <v>-205.68269577730439</v>
      </c>
    </row>
    <row r="40" spans="1:25" x14ac:dyDescent="0.35">
      <c r="A40" s="1" t="s">
        <v>60</v>
      </c>
      <c r="B40">
        <v>-179.8319801819373</v>
      </c>
      <c r="C40">
        <v>-167.24682109862781</v>
      </c>
      <c r="D40">
        <v>-148.61547301821241</v>
      </c>
      <c r="E40">
        <v>-146.4339626465692</v>
      </c>
      <c r="F40">
        <v>-145.42104802293119</v>
      </c>
      <c r="G40">
        <v>-167.99097935845879</v>
      </c>
      <c r="H40">
        <v>-162.2271725074396</v>
      </c>
      <c r="I40">
        <v>-155.45047492725831</v>
      </c>
      <c r="J40">
        <v>-93.359180116672775</v>
      </c>
      <c r="K40">
        <v>-22.269491825882849</v>
      </c>
      <c r="L40">
        <v>27.590025260316139</v>
      </c>
      <c r="M40">
        <v>39.583876961840588</v>
      </c>
      <c r="N40">
        <v>44.132172379228592</v>
      </c>
      <c r="O40">
        <v>24.585127914039671</v>
      </c>
      <c r="P40">
        <v>-2.721440735106512</v>
      </c>
      <c r="Q40">
        <v>-86.162043251694385</v>
      </c>
      <c r="R40">
        <v>-177.29339137716951</v>
      </c>
      <c r="S40">
        <v>-224.01659803697231</v>
      </c>
      <c r="T40">
        <v>-227.94558942828149</v>
      </c>
      <c r="U40">
        <v>-286.31902935649089</v>
      </c>
      <c r="V40">
        <v>-252.137643323828</v>
      </c>
      <c r="W40">
        <v>-286.522998336591</v>
      </c>
      <c r="X40">
        <v>-225.70965538903721</v>
      </c>
      <c r="Y40">
        <v>-218.58465335209479</v>
      </c>
    </row>
    <row r="41" spans="1:25" x14ac:dyDescent="0.35">
      <c r="A41" s="1" t="s">
        <v>61</v>
      </c>
      <c r="B41">
        <v>-382.73384166348058</v>
      </c>
      <c r="C41">
        <v>-365.27289177100761</v>
      </c>
      <c r="D41">
        <v>-354.68304162068301</v>
      </c>
      <c r="E41">
        <v>-381.93037007226178</v>
      </c>
      <c r="F41">
        <v>-406.87604574171138</v>
      </c>
      <c r="G41">
        <v>-415.30273751513499</v>
      </c>
      <c r="H41">
        <v>-339.47480211576709</v>
      </c>
      <c r="I41">
        <v>-210.47588957040591</v>
      </c>
      <c r="J41">
        <v>-11.949289354612519</v>
      </c>
      <c r="K41">
        <v>104.05556152618421</v>
      </c>
      <c r="L41">
        <v>181.8947995804632</v>
      </c>
      <c r="M41">
        <v>219.16730026555979</v>
      </c>
      <c r="N41">
        <v>207.93386081539319</v>
      </c>
      <c r="O41">
        <v>150.7019698410586</v>
      </c>
      <c r="P41">
        <v>90.565712416213103</v>
      </c>
      <c r="Q41">
        <v>-9.9906992145448044</v>
      </c>
      <c r="R41">
        <v>-149.86911794114971</v>
      </c>
      <c r="S41">
        <v>-209.02006958624531</v>
      </c>
      <c r="T41">
        <v>-223.09584956413141</v>
      </c>
      <c r="U41">
        <v>-251.3456529078365</v>
      </c>
      <c r="V41">
        <v>-327.7522584701349</v>
      </c>
      <c r="W41">
        <v>-349.24096871741301</v>
      </c>
      <c r="X41">
        <v>-369.73110067846898</v>
      </c>
      <c r="Y41">
        <v>-386.23793865605359</v>
      </c>
    </row>
    <row r="42" spans="1:25" x14ac:dyDescent="0.35">
      <c r="A42" s="1" t="s">
        <v>62</v>
      </c>
      <c r="B42">
        <v>-166.53318364986731</v>
      </c>
      <c r="C42">
        <v>-172.70849898831571</v>
      </c>
      <c r="D42">
        <v>-147.44506556463881</v>
      </c>
      <c r="E42">
        <v>-157.64508045540089</v>
      </c>
      <c r="F42">
        <v>-145.06921239338391</v>
      </c>
      <c r="G42">
        <v>-137.34351716321061</v>
      </c>
      <c r="H42">
        <v>-112.23544423649651</v>
      </c>
      <c r="I42">
        <v>-89.396632851415077</v>
      </c>
      <c r="J42">
        <v>-0.74659132625785674</v>
      </c>
      <c r="K42">
        <v>126.6237980382196</v>
      </c>
      <c r="L42">
        <v>232.28596552358499</v>
      </c>
      <c r="M42">
        <v>323.57102982798159</v>
      </c>
      <c r="N42">
        <v>348.00066226022022</v>
      </c>
      <c r="O42">
        <v>251.26607483228511</v>
      </c>
      <c r="P42">
        <v>184.48836122560689</v>
      </c>
      <c r="Q42">
        <v>70.095513649827581</v>
      </c>
      <c r="R42">
        <v>-100.1578341526431</v>
      </c>
      <c r="S42">
        <v>-171.68317110383779</v>
      </c>
      <c r="T42">
        <v>-200.1647286948216</v>
      </c>
      <c r="U42">
        <v>-225.94138208097479</v>
      </c>
      <c r="V42">
        <v>-232.8005871494253</v>
      </c>
      <c r="W42">
        <v>-251.69498316091961</v>
      </c>
      <c r="X42">
        <v>-205.7729852034775</v>
      </c>
      <c r="Y42">
        <v>-205.68269577730439</v>
      </c>
    </row>
    <row r="43" spans="1:25" x14ac:dyDescent="0.35">
      <c r="A43" s="1" t="s">
        <v>63</v>
      </c>
      <c r="B43">
        <v>-179.8319801819373</v>
      </c>
      <c r="C43">
        <v>-167.24682109862781</v>
      </c>
      <c r="D43">
        <v>-148.61547301821241</v>
      </c>
      <c r="E43">
        <v>-146.4339626465692</v>
      </c>
      <c r="F43">
        <v>-145.42104802293119</v>
      </c>
      <c r="G43">
        <v>-167.99097935845879</v>
      </c>
      <c r="H43">
        <v>-162.2271725074396</v>
      </c>
      <c r="I43">
        <v>-155.45047492725831</v>
      </c>
      <c r="J43">
        <v>-93.359180116672775</v>
      </c>
      <c r="K43">
        <v>-22.269491825882849</v>
      </c>
      <c r="L43">
        <v>27.590025260316139</v>
      </c>
      <c r="M43">
        <v>39.583876961840588</v>
      </c>
      <c r="N43">
        <v>44.132172379228592</v>
      </c>
      <c r="O43">
        <v>24.585127914039671</v>
      </c>
      <c r="P43">
        <v>-2.721440735106512</v>
      </c>
      <c r="Q43">
        <v>-86.162043251694385</v>
      </c>
      <c r="R43">
        <v>-177.29339137716951</v>
      </c>
      <c r="S43">
        <v>-224.01659803697231</v>
      </c>
      <c r="T43">
        <v>-227.94558942828149</v>
      </c>
      <c r="U43">
        <v>-286.31902935649089</v>
      </c>
      <c r="V43">
        <v>-252.137643323828</v>
      </c>
      <c r="W43">
        <v>-286.522998336591</v>
      </c>
      <c r="X43">
        <v>-225.70965538903721</v>
      </c>
      <c r="Y43">
        <v>-218.58465335209479</v>
      </c>
    </row>
    <row r="44" spans="1:25" x14ac:dyDescent="0.35">
      <c r="A44" s="1" t="s">
        <v>64</v>
      </c>
      <c r="B44">
        <v>-382.73384166348058</v>
      </c>
      <c r="C44">
        <v>-365.27289177100761</v>
      </c>
      <c r="D44">
        <v>-354.68304162068301</v>
      </c>
      <c r="E44">
        <v>-381.93037007226178</v>
      </c>
      <c r="F44">
        <v>-406.87604574171138</v>
      </c>
      <c r="G44">
        <v>-415.30273751513499</v>
      </c>
      <c r="H44">
        <v>-339.47480211576709</v>
      </c>
      <c r="I44">
        <v>-210.47588957040591</v>
      </c>
      <c r="J44">
        <v>-11.949289354612519</v>
      </c>
      <c r="K44">
        <v>104.05556152618421</v>
      </c>
      <c r="L44">
        <v>181.8947995804632</v>
      </c>
      <c r="M44">
        <v>219.16730026555979</v>
      </c>
      <c r="N44">
        <v>207.93386081539319</v>
      </c>
      <c r="O44">
        <v>150.7019698410586</v>
      </c>
      <c r="P44">
        <v>90.565712416213103</v>
      </c>
      <c r="Q44">
        <v>-9.9906992145448044</v>
      </c>
      <c r="R44">
        <v>-149.86911794114971</v>
      </c>
      <c r="S44">
        <v>-209.02006958624531</v>
      </c>
      <c r="T44">
        <v>-223.09584956413141</v>
      </c>
      <c r="U44">
        <v>-251.3456529078365</v>
      </c>
      <c r="V44">
        <v>-327.7522584701349</v>
      </c>
      <c r="W44">
        <v>-349.24096871741301</v>
      </c>
      <c r="X44">
        <v>-369.73110067846898</v>
      </c>
      <c r="Y44">
        <v>-386.23793865605359</v>
      </c>
    </row>
    <row r="45" spans="1:25" x14ac:dyDescent="0.35">
      <c r="A45" s="1" t="s">
        <v>65</v>
      </c>
      <c r="B45">
        <v>-166.53318364986731</v>
      </c>
      <c r="C45">
        <v>-172.70849898831571</v>
      </c>
      <c r="D45">
        <v>-147.44506556463881</v>
      </c>
      <c r="E45">
        <v>-157.64508045540089</v>
      </c>
      <c r="F45">
        <v>-145.06921239338391</v>
      </c>
      <c r="G45">
        <v>-137.34351716321061</v>
      </c>
      <c r="H45">
        <v>-112.23544423649651</v>
      </c>
      <c r="I45">
        <v>-89.396632851415077</v>
      </c>
      <c r="J45">
        <v>-0.74659132625785674</v>
      </c>
      <c r="K45">
        <v>126.6237980382196</v>
      </c>
      <c r="L45">
        <v>232.28596552358499</v>
      </c>
      <c r="M45">
        <v>323.57102982798159</v>
      </c>
      <c r="N45">
        <v>348.00066226022022</v>
      </c>
      <c r="O45">
        <v>251.26607483228511</v>
      </c>
      <c r="P45">
        <v>184.48836122560689</v>
      </c>
      <c r="Q45">
        <v>70.095513649827581</v>
      </c>
      <c r="R45">
        <v>-100.1578341526431</v>
      </c>
      <c r="S45">
        <v>-171.68317110383779</v>
      </c>
      <c r="T45">
        <v>-200.1647286948216</v>
      </c>
      <c r="U45">
        <v>-225.94138208097479</v>
      </c>
      <c r="V45">
        <v>-232.8005871494253</v>
      </c>
      <c r="W45">
        <v>-251.69498316091961</v>
      </c>
      <c r="X45">
        <v>-205.7729852034775</v>
      </c>
      <c r="Y45">
        <v>-205.68269577730439</v>
      </c>
    </row>
    <row r="46" spans="1:25" x14ac:dyDescent="0.35">
      <c r="A46" s="1" t="s">
        <v>66</v>
      </c>
      <c r="B46">
        <v>-179.8319801819373</v>
      </c>
      <c r="C46">
        <v>-167.24682109862781</v>
      </c>
      <c r="D46">
        <v>-148.61547301821241</v>
      </c>
      <c r="E46">
        <v>-146.4339626465692</v>
      </c>
      <c r="F46">
        <v>-145.42104802293119</v>
      </c>
      <c r="G46">
        <v>-167.99097935845879</v>
      </c>
      <c r="H46">
        <v>-162.2271725074396</v>
      </c>
      <c r="I46">
        <v>-155.45047492725831</v>
      </c>
      <c r="J46">
        <v>-93.359180116672775</v>
      </c>
      <c r="K46">
        <v>-22.269491825882849</v>
      </c>
      <c r="L46">
        <v>27.590025260316139</v>
      </c>
      <c r="M46">
        <v>39.583876961840588</v>
      </c>
      <c r="N46">
        <v>44.132172379228592</v>
      </c>
      <c r="O46">
        <v>24.585127914039671</v>
      </c>
      <c r="P46">
        <v>-2.721440735106512</v>
      </c>
      <c r="Q46">
        <v>-86.162043251694385</v>
      </c>
      <c r="R46">
        <v>-177.29339137716951</v>
      </c>
      <c r="S46">
        <v>-224.01659803697231</v>
      </c>
      <c r="T46">
        <v>-227.94558942828149</v>
      </c>
      <c r="U46">
        <v>-286.31902935649089</v>
      </c>
      <c r="V46">
        <v>-252.137643323828</v>
      </c>
      <c r="W46">
        <v>-286.522998336591</v>
      </c>
      <c r="X46">
        <v>-225.70965538903721</v>
      </c>
      <c r="Y46">
        <v>-218.58465335209479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169.0966151720738</v>
      </c>
      <c r="K2">
        <v>324.14541257116468</v>
      </c>
      <c r="L2">
        <v>417.66121455045038</v>
      </c>
      <c r="M2">
        <v>449.51353349283249</v>
      </c>
      <c r="N2">
        <v>437.34692441198422</v>
      </c>
      <c r="O2">
        <v>380.80018126274541</v>
      </c>
      <c r="P2">
        <v>321.79870817148259</v>
      </c>
      <c r="Q2">
        <v>212.31499065990471</v>
      </c>
      <c r="R2">
        <v>65.716419872982428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10.12574714858493</v>
      </c>
      <c r="J3">
        <v>126.09103534040879</v>
      </c>
      <c r="K3">
        <v>264.4652370125786</v>
      </c>
      <c r="L3">
        <v>370.84034530345917</v>
      </c>
      <c r="M3">
        <v>465.70506374999991</v>
      </c>
      <c r="N3">
        <v>479.34237434355362</v>
      </c>
      <c r="O3">
        <v>393.86231927672952</v>
      </c>
      <c r="P3">
        <v>318.46276863993722</v>
      </c>
      <c r="Q3">
        <v>210.0772877358491</v>
      </c>
      <c r="R3">
        <v>45.52166981132082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33.636241322723329</v>
      </c>
      <c r="K4">
        <v>106.7437663446525</v>
      </c>
      <c r="L4">
        <v>162.4747015415544</v>
      </c>
      <c r="M4">
        <v>178.50966090944561</v>
      </c>
      <c r="N4">
        <v>171.81771684446181</v>
      </c>
      <c r="O4">
        <v>163.04166636588249</v>
      </c>
      <c r="P4">
        <v>135.0065633140411</v>
      </c>
      <c r="Q4">
        <v>65.342958377751458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169.0966151720738</v>
      </c>
      <c r="K5">
        <v>324.14541257116468</v>
      </c>
      <c r="L5">
        <v>417.66121455045038</v>
      </c>
      <c r="M5">
        <v>449.51353349283249</v>
      </c>
      <c r="N5">
        <v>437.34692441198422</v>
      </c>
      <c r="O5">
        <v>380.80018126274541</v>
      </c>
      <c r="P5">
        <v>321.79870817148259</v>
      </c>
      <c r="Q5">
        <v>212.31499065990471</v>
      </c>
      <c r="R5">
        <v>65.716419872982428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10.12574714858493</v>
      </c>
      <c r="J6">
        <v>126.09103534040879</v>
      </c>
      <c r="K6">
        <v>264.4652370125786</v>
      </c>
      <c r="L6">
        <v>370.84034530345917</v>
      </c>
      <c r="M6">
        <v>465.70506374999991</v>
      </c>
      <c r="N6">
        <v>479.34237434355362</v>
      </c>
      <c r="O6">
        <v>393.86231927672952</v>
      </c>
      <c r="P6">
        <v>318.46276863993722</v>
      </c>
      <c r="Q6">
        <v>210.0772877358491</v>
      </c>
      <c r="R6">
        <v>45.52166981132082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33.636241322723329</v>
      </c>
      <c r="K7">
        <v>106.7437663446525</v>
      </c>
      <c r="L7">
        <v>162.4747015415544</v>
      </c>
      <c r="M7">
        <v>178.50966090944561</v>
      </c>
      <c r="N7">
        <v>171.81771684446181</v>
      </c>
      <c r="O7">
        <v>163.04166636588249</v>
      </c>
      <c r="P7">
        <v>135.0065633140411</v>
      </c>
      <c r="Q7">
        <v>65.342958377751458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169.0966151720738</v>
      </c>
      <c r="K8">
        <v>324.14541257116468</v>
      </c>
      <c r="L8">
        <v>417.66121455045038</v>
      </c>
      <c r="M8">
        <v>449.51353349283249</v>
      </c>
      <c r="N8">
        <v>437.34692441198422</v>
      </c>
      <c r="O8">
        <v>380.80018126274541</v>
      </c>
      <c r="P8">
        <v>321.79870817148259</v>
      </c>
      <c r="Q8">
        <v>212.31499065990471</v>
      </c>
      <c r="R8">
        <v>65.716419872982428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10.12574714858493</v>
      </c>
      <c r="J9">
        <v>126.09103534040879</v>
      </c>
      <c r="K9">
        <v>264.4652370125786</v>
      </c>
      <c r="L9">
        <v>370.84034530345917</v>
      </c>
      <c r="M9">
        <v>465.70506374999991</v>
      </c>
      <c r="N9">
        <v>479.34237434355362</v>
      </c>
      <c r="O9">
        <v>393.86231927672952</v>
      </c>
      <c r="P9">
        <v>318.46276863993722</v>
      </c>
      <c r="Q9">
        <v>210.0772877358491</v>
      </c>
      <c r="R9">
        <v>45.52166981132082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33.636241322723329</v>
      </c>
      <c r="K10">
        <v>106.7437663446525</v>
      </c>
      <c r="L10">
        <v>162.4747015415544</v>
      </c>
      <c r="M10">
        <v>178.50966090944561</v>
      </c>
      <c r="N10">
        <v>171.81771684446181</v>
      </c>
      <c r="O10">
        <v>163.04166636588249</v>
      </c>
      <c r="P10">
        <v>135.0065633140411</v>
      </c>
      <c r="Q10">
        <v>65.342958377751458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169.0966151720738</v>
      </c>
      <c r="K11">
        <v>324.14541257116468</v>
      </c>
      <c r="L11">
        <v>417.66121455045038</v>
      </c>
      <c r="M11">
        <v>449.51353349283249</v>
      </c>
      <c r="N11">
        <v>437.34692441198422</v>
      </c>
      <c r="O11">
        <v>380.80018126274541</v>
      </c>
      <c r="P11">
        <v>321.79870817148259</v>
      </c>
      <c r="Q11">
        <v>212.31499065990471</v>
      </c>
      <c r="R11">
        <v>65.716419872982428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10.12574714858493</v>
      </c>
      <c r="J12">
        <v>126.09103534040879</v>
      </c>
      <c r="K12">
        <v>264.4652370125786</v>
      </c>
      <c r="L12">
        <v>370.84034530345917</v>
      </c>
      <c r="M12">
        <v>465.70506374999991</v>
      </c>
      <c r="N12">
        <v>479.34237434355362</v>
      </c>
      <c r="O12">
        <v>393.86231927672952</v>
      </c>
      <c r="P12">
        <v>318.46276863993722</v>
      </c>
      <c r="Q12">
        <v>210.0772877358491</v>
      </c>
      <c r="R12">
        <v>45.52166981132082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33.636241322723329</v>
      </c>
      <c r="K13">
        <v>106.7437663446525</v>
      </c>
      <c r="L13">
        <v>162.4747015415544</v>
      </c>
      <c r="M13">
        <v>178.50966090944561</v>
      </c>
      <c r="N13">
        <v>171.81771684446181</v>
      </c>
      <c r="O13">
        <v>163.04166636588249</v>
      </c>
      <c r="P13">
        <v>135.0065633140411</v>
      </c>
      <c r="Q13">
        <v>65.342958377751458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169.0966151720738</v>
      </c>
      <c r="K14">
        <v>324.14541257116468</v>
      </c>
      <c r="L14">
        <v>417.66121455045038</v>
      </c>
      <c r="M14">
        <v>449.51353349283249</v>
      </c>
      <c r="N14">
        <v>437.34692441198422</v>
      </c>
      <c r="O14">
        <v>380.80018126274541</v>
      </c>
      <c r="P14">
        <v>321.79870817148259</v>
      </c>
      <c r="Q14">
        <v>212.31499065990471</v>
      </c>
      <c r="R14">
        <v>65.716419872982428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10.12574714858493</v>
      </c>
      <c r="J15">
        <v>126.09103534040879</v>
      </c>
      <c r="K15">
        <v>264.4652370125786</v>
      </c>
      <c r="L15">
        <v>370.84034530345917</v>
      </c>
      <c r="M15">
        <v>465.70506374999991</v>
      </c>
      <c r="N15">
        <v>479.34237434355362</v>
      </c>
      <c r="O15">
        <v>393.86231927672952</v>
      </c>
      <c r="P15">
        <v>318.46276863993722</v>
      </c>
      <c r="Q15">
        <v>210.0772877358491</v>
      </c>
      <c r="R15">
        <v>45.52166981132082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33.636241322723329</v>
      </c>
      <c r="K16">
        <v>106.7437663446525</v>
      </c>
      <c r="L16">
        <v>162.4747015415544</v>
      </c>
      <c r="M16">
        <v>178.50966090944561</v>
      </c>
      <c r="N16">
        <v>171.81771684446181</v>
      </c>
      <c r="O16">
        <v>163.04166636588249</v>
      </c>
      <c r="P16">
        <v>135.0065633140411</v>
      </c>
      <c r="Q16">
        <v>65.342958377751458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169.0966151720738</v>
      </c>
      <c r="K17">
        <v>324.14541257116468</v>
      </c>
      <c r="L17">
        <v>417.66121455045038</v>
      </c>
      <c r="M17">
        <v>449.51353349283249</v>
      </c>
      <c r="N17">
        <v>437.34692441198422</v>
      </c>
      <c r="O17">
        <v>380.80018126274541</v>
      </c>
      <c r="P17">
        <v>321.79870817148259</v>
      </c>
      <c r="Q17">
        <v>212.31499065990471</v>
      </c>
      <c r="R17">
        <v>65.716419872982428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10.12574714858493</v>
      </c>
      <c r="J18">
        <v>126.09103534040879</v>
      </c>
      <c r="K18">
        <v>264.4652370125786</v>
      </c>
      <c r="L18">
        <v>370.84034530345917</v>
      </c>
      <c r="M18">
        <v>465.70506374999991</v>
      </c>
      <c r="N18">
        <v>479.34237434355362</v>
      </c>
      <c r="O18">
        <v>393.86231927672952</v>
      </c>
      <c r="P18">
        <v>318.46276863993722</v>
      </c>
      <c r="Q18">
        <v>210.0772877358491</v>
      </c>
      <c r="R18">
        <v>45.52166981132082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33.636241322723329</v>
      </c>
      <c r="K19">
        <v>106.7437663446525</v>
      </c>
      <c r="L19">
        <v>162.4747015415544</v>
      </c>
      <c r="M19">
        <v>178.50966090944561</v>
      </c>
      <c r="N19">
        <v>171.81771684446181</v>
      </c>
      <c r="O19">
        <v>163.04166636588249</v>
      </c>
      <c r="P19">
        <v>135.0065633140411</v>
      </c>
      <c r="Q19">
        <v>65.342958377751458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169.0966151720738</v>
      </c>
      <c r="K20">
        <v>324.14541257116468</v>
      </c>
      <c r="L20">
        <v>417.66121455045038</v>
      </c>
      <c r="M20">
        <v>449.51353349283249</v>
      </c>
      <c r="N20">
        <v>437.34692441198422</v>
      </c>
      <c r="O20">
        <v>380.80018126274541</v>
      </c>
      <c r="P20">
        <v>321.79870817148259</v>
      </c>
      <c r="Q20">
        <v>212.31499065990471</v>
      </c>
      <c r="R20">
        <v>65.716419872982428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10.12574714858493</v>
      </c>
      <c r="J21">
        <v>126.09103534040879</v>
      </c>
      <c r="K21">
        <v>264.4652370125786</v>
      </c>
      <c r="L21">
        <v>370.84034530345917</v>
      </c>
      <c r="M21">
        <v>465.70506374999991</v>
      </c>
      <c r="N21">
        <v>479.34237434355362</v>
      </c>
      <c r="O21">
        <v>393.86231927672952</v>
      </c>
      <c r="P21">
        <v>318.46276863993722</v>
      </c>
      <c r="Q21">
        <v>210.0772877358491</v>
      </c>
      <c r="R21">
        <v>45.52166981132082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33.636241322723329</v>
      </c>
      <c r="K22">
        <v>106.7437663446525</v>
      </c>
      <c r="L22">
        <v>162.4747015415544</v>
      </c>
      <c r="M22">
        <v>178.50966090944561</v>
      </c>
      <c r="N22">
        <v>171.81771684446181</v>
      </c>
      <c r="O22">
        <v>163.04166636588249</v>
      </c>
      <c r="P22">
        <v>135.0065633140411</v>
      </c>
      <c r="Q22">
        <v>65.342958377751458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169.0966151720738</v>
      </c>
      <c r="K23">
        <v>324.14541257116468</v>
      </c>
      <c r="L23">
        <v>417.66121455045038</v>
      </c>
      <c r="M23">
        <v>449.51353349283249</v>
      </c>
      <c r="N23">
        <v>437.34692441198422</v>
      </c>
      <c r="O23">
        <v>380.80018126274541</v>
      </c>
      <c r="P23">
        <v>321.79870817148259</v>
      </c>
      <c r="Q23">
        <v>212.31499065990471</v>
      </c>
      <c r="R23">
        <v>65.716419872982428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10.12574714858493</v>
      </c>
      <c r="J24">
        <v>126.09103534040879</v>
      </c>
      <c r="K24">
        <v>264.4652370125786</v>
      </c>
      <c r="L24">
        <v>370.84034530345917</v>
      </c>
      <c r="M24">
        <v>465.70506374999991</v>
      </c>
      <c r="N24">
        <v>479.34237434355362</v>
      </c>
      <c r="O24">
        <v>393.86231927672952</v>
      </c>
      <c r="P24">
        <v>318.46276863993722</v>
      </c>
      <c r="Q24">
        <v>210.0772877358491</v>
      </c>
      <c r="R24">
        <v>45.52166981132082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33.636241322723329</v>
      </c>
      <c r="K25">
        <v>106.7437663446525</v>
      </c>
      <c r="L25">
        <v>162.4747015415544</v>
      </c>
      <c r="M25">
        <v>178.50966090944561</v>
      </c>
      <c r="N25">
        <v>171.81771684446181</v>
      </c>
      <c r="O25">
        <v>163.04166636588249</v>
      </c>
      <c r="P25">
        <v>135.0065633140411</v>
      </c>
      <c r="Q25">
        <v>65.342958377751458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169.0966151720738</v>
      </c>
      <c r="K26">
        <v>324.14541257116468</v>
      </c>
      <c r="L26">
        <v>417.66121455045038</v>
      </c>
      <c r="M26">
        <v>449.51353349283249</v>
      </c>
      <c r="N26">
        <v>437.34692441198422</v>
      </c>
      <c r="O26">
        <v>380.80018126274541</v>
      </c>
      <c r="P26">
        <v>321.79870817148259</v>
      </c>
      <c r="Q26">
        <v>212.31499065990471</v>
      </c>
      <c r="R26">
        <v>65.716419872982428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10.12574714858493</v>
      </c>
      <c r="J27">
        <v>126.09103534040879</v>
      </c>
      <c r="K27">
        <v>264.4652370125786</v>
      </c>
      <c r="L27">
        <v>370.84034530345917</v>
      </c>
      <c r="M27">
        <v>465.70506374999991</v>
      </c>
      <c r="N27">
        <v>479.34237434355362</v>
      </c>
      <c r="O27">
        <v>393.86231927672952</v>
      </c>
      <c r="P27">
        <v>318.46276863993722</v>
      </c>
      <c r="Q27">
        <v>210.0772877358491</v>
      </c>
      <c r="R27">
        <v>45.52166981132082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33.636241322723329</v>
      </c>
      <c r="K28">
        <v>106.7437663446525</v>
      </c>
      <c r="L28">
        <v>162.4747015415544</v>
      </c>
      <c r="M28">
        <v>178.50966090944561</v>
      </c>
      <c r="N28">
        <v>171.81771684446181</v>
      </c>
      <c r="O28">
        <v>163.04166636588249</v>
      </c>
      <c r="P28">
        <v>135.0065633140411</v>
      </c>
      <c r="Q28">
        <v>65.342958377751458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169.0966151720738</v>
      </c>
      <c r="K29">
        <v>324.14541257116468</v>
      </c>
      <c r="L29">
        <v>417.66121455045038</v>
      </c>
      <c r="M29">
        <v>449.51353349283249</v>
      </c>
      <c r="N29">
        <v>437.34692441198422</v>
      </c>
      <c r="O29">
        <v>380.80018126274541</v>
      </c>
      <c r="P29">
        <v>321.79870817148259</v>
      </c>
      <c r="Q29">
        <v>212.31499065990471</v>
      </c>
      <c r="R29">
        <v>65.716419872982428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10.12574714858493</v>
      </c>
      <c r="J30">
        <v>126.09103534040879</v>
      </c>
      <c r="K30">
        <v>264.4652370125786</v>
      </c>
      <c r="L30">
        <v>370.84034530345917</v>
      </c>
      <c r="M30">
        <v>465.70506374999991</v>
      </c>
      <c r="N30">
        <v>479.34237434355362</v>
      </c>
      <c r="O30">
        <v>393.86231927672952</v>
      </c>
      <c r="P30">
        <v>318.46276863993722</v>
      </c>
      <c r="Q30">
        <v>210.0772877358491</v>
      </c>
      <c r="R30">
        <v>45.52166981132082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33.636241322723329</v>
      </c>
      <c r="K31">
        <v>106.7437663446525</v>
      </c>
      <c r="L31">
        <v>162.4747015415544</v>
      </c>
      <c r="M31">
        <v>178.50966090944561</v>
      </c>
      <c r="N31">
        <v>171.81771684446181</v>
      </c>
      <c r="O31">
        <v>163.04166636588249</v>
      </c>
      <c r="P31">
        <v>135.0065633140411</v>
      </c>
      <c r="Q31">
        <v>65.342958377751458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169.0966151720738</v>
      </c>
      <c r="K32">
        <v>324.14541257116468</v>
      </c>
      <c r="L32">
        <v>417.66121455045038</v>
      </c>
      <c r="M32">
        <v>449.51353349283249</v>
      </c>
      <c r="N32">
        <v>437.34692441198422</v>
      </c>
      <c r="O32">
        <v>380.80018126274541</v>
      </c>
      <c r="P32">
        <v>321.79870817148259</v>
      </c>
      <c r="Q32">
        <v>212.31499065990471</v>
      </c>
      <c r="R32">
        <v>65.716419872982428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10.12574714858493</v>
      </c>
      <c r="J33">
        <v>126.09103534040879</v>
      </c>
      <c r="K33">
        <v>264.4652370125786</v>
      </c>
      <c r="L33">
        <v>370.84034530345917</v>
      </c>
      <c r="M33">
        <v>465.70506374999991</v>
      </c>
      <c r="N33">
        <v>479.34237434355362</v>
      </c>
      <c r="O33">
        <v>393.86231927672952</v>
      </c>
      <c r="P33">
        <v>318.46276863993722</v>
      </c>
      <c r="Q33">
        <v>210.0772877358491</v>
      </c>
      <c r="R33">
        <v>45.52166981132082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33.636241322723329</v>
      </c>
      <c r="K34">
        <v>106.7437663446525</v>
      </c>
      <c r="L34">
        <v>162.4747015415544</v>
      </c>
      <c r="M34">
        <v>178.50966090944561</v>
      </c>
      <c r="N34">
        <v>171.81771684446181</v>
      </c>
      <c r="O34">
        <v>163.04166636588249</v>
      </c>
      <c r="P34">
        <v>135.0065633140411</v>
      </c>
      <c r="Q34">
        <v>65.342958377751458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169.0966151720738</v>
      </c>
      <c r="K35">
        <v>324.14541257116468</v>
      </c>
      <c r="L35">
        <v>417.66121455045038</v>
      </c>
      <c r="M35">
        <v>449.51353349283249</v>
      </c>
      <c r="N35">
        <v>437.34692441198422</v>
      </c>
      <c r="O35">
        <v>380.80018126274541</v>
      </c>
      <c r="P35">
        <v>321.79870817148259</v>
      </c>
      <c r="Q35">
        <v>212.31499065990471</v>
      </c>
      <c r="R35">
        <v>65.716419872982428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10.12574714858493</v>
      </c>
      <c r="J36">
        <v>126.09103534040879</v>
      </c>
      <c r="K36">
        <v>264.4652370125786</v>
      </c>
      <c r="L36">
        <v>370.84034530345917</v>
      </c>
      <c r="M36">
        <v>465.70506374999991</v>
      </c>
      <c r="N36">
        <v>479.34237434355362</v>
      </c>
      <c r="O36">
        <v>393.86231927672952</v>
      </c>
      <c r="P36">
        <v>318.46276863993722</v>
      </c>
      <c r="Q36">
        <v>210.0772877358491</v>
      </c>
      <c r="R36">
        <v>45.52166981132082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33.636241322723329</v>
      </c>
      <c r="K37">
        <v>106.7437663446525</v>
      </c>
      <c r="L37">
        <v>162.4747015415544</v>
      </c>
      <c r="M37">
        <v>178.50966090944561</v>
      </c>
      <c r="N37">
        <v>171.81771684446181</v>
      </c>
      <c r="O37">
        <v>163.04166636588249</v>
      </c>
      <c r="P37">
        <v>135.0065633140411</v>
      </c>
      <c r="Q37">
        <v>65.342958377751458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169.0966151720738</v>
      </c>
      <c r="K38">
        <v>324.14541257116468</v>
      </c>
      <c r="L38">
        <v>417.66121455045038</v>
      </c>
      <c r="M38">
        <v>449.51353349283249</v>
      </c>
      <c r="N38">
        <v>437.34692441198422</v>
      </c>
      <c r="O38">
        <v>380.80018126274541</v>
      </c>
      <c r="P38">
        <v>321.79870817148259</v>
      </c>
      <c r="Q38">
        <v>212.31499065990471</v>
      </c>
      <c r="R38">
        <v>65.716419872982428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10.12574714858493</v>
      </c>
      <c r="J39">
        <v>126.09103534040879</v>
      </c>
      <c r="K39">
        <v>264.4652370125786</v>
      </c>
      <c r="L39">
        <v>370.84034530345917</v>
      </c>
      <c r="M39">
        <v>465.70506374999991</v>
      </c>
      <c r="N39">
        <v>479.34237434355362</v>
      </c>
      <c r="O39">
        <v>393.86231927672952</v>
      </c>
      <c r="P39">
        <v>318.46276863993722</v>
      </c>
      <c r="Q39">
        <v>210.0772877358491</v>
      </c>
      <c r="R39">
        <v>45.52166981132082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33.636241322723329</v>
      </c>
      <c r="K40">
        <v>106.7437663446525</v>
      </c>
      <c r="L40">
        <v>162.4747015415544</v>
      </c>
      <c r="M40">
        <v>178.50966090944561</v>
      </c>
      <c r="N40">
        <v>171.81771684446181</v>
      </c>
      <c r="O40">
        <v>163.04166636588249</v>
      </c>
      <c r="P40">
        <v>135.0065633140411</v>
      </c>
      <c r="Q40">
        <v>65.342958377751458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169.0966151720738</v>
      </c>
      <c r="K41">
        <v>324.14541257116468</v>
      </c>
      <c r="L41">
        <v>417.66121455045038</v>
      </c>
      <c r="M41">
        <v>449.51353349283249</v>
      </c>
      <c r="N41">
        <v>437.34692441198422</v>
      </c>
      <c r="O41">
        <v>380.80018126274541</v>
      </c>
      <c r="P41">
        <v>321.79870817148259</v>
      </c>
      <c r="Q41">
        <v>212.31499065990471</v>
      </c>
      <c r="R41">
        <v>65.716419872982428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10.12574714858493</v>
      </c>
      <c r="J42">
        <v>126.09103534040879</v>
      </c>
      <c r="K42">
        <v>264.4652370125786</v>
      </c>
      <c r="L42">
        <v>370.84034530345917</v>
      </c>
      <c r="M42">
        <v>465.70506374999991</v>
      </c>
      <c r="N42">
        <v>479.34237434355362</v>
      </c>
      <c r="O42">
        <v>393.86231927672952</v>
      </c>
      <c r="P42">
        <v>318.46276863993722</v>
      </c>
      <c r="Q42">
        <v>210.0772877358491</v>
      </c>
      <c r="R42">
        <v>45.52166981132082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33.636241322723329</v>
      </c>
      <c r="K43">
        <v>106.7437663446525</v>
      </c>
      <c r="L43">
        <v>162.4747015415544</v>
      </c>
      <c r="M43">
        <v>178.50966090944561</v>
      </c>
      <c r="N43">
        <v>171.81771684446181</v>
      </c>
      <c r="O43">
        <v>163.04166636588249</v>
      </c>
      <c r="P43">
        <v>135.0065633140411</v>
      </c>
      <c r="Q43">
        <v>65.342958377751458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169.0966151720738</v>
      </c>
      <c r="K44">
        <v>324.14541257116468</v>
      </c>
      <c r="L44">
        <v>417.66121455045038</v>
      </c>
      <c r="M44">
        <v>449.51353349283249</v>
      </c>
      <c r="N44">
        <v>437.34692441198422</v>
      </c>
      <c r="O44">
        <v>380.80018126274541</v>
      </c>
      <c r="P44">
        <v>321.79870817148259</v>
      </c>
      <c r="Q44">
        <v>212.31499065990471</v>
      </c>
      <c r="R44">
        <v>65.716419872982428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10.12574714858493</v>
      </c>
      <c r="J45">
        <v>126.09103534040879</v>
      </c>
      <c r="K45">
        <v>264.4652370125786</v>
      </c>
      <c r="L45">
        <v>370.84034530345917</v>
      </c>
      <c r="M45">
        <v>465.70506374999991</v>
      </c>
      <c r="N45">
        <v>479.34237434355362</v>
      </c>
      <c r="O45">
        <v>393.86231927672952</v>
      </c>
      <c r="P45">
        <v>318.46276863993722</v>
      </c>
      <c r="Q45">
        <v>210.0772877358491</v>
      </c>
      <c r="R45">
        <v>45.52166981132082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33.636241322723329</v>
      </c>
      <c r="K46">
        <v>106.7437663446525</v>
      </c>
      <c r="L46">
        <v>162.4747015415544</v>
      </c>
      <c r="M46">
        <v>178.50966090944561</v>
      </c>
      <c r="N46">
        <v>171.81771684446181</v>
      </c>
      <c r="O46">
        <v>163.04166636588249</v>
      </c>
      <c r="P46">
        <v>135.0065633140411</v>
      </c>
      <c r="Q46">
        <v>65.342958377751458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0</v>
      </c>
      <c r="C2">
        <v>0</v>
      </c>
      <c r="D2">
        <v>0</v>
      </c>
      <c r="E2">
        <v>0</v>
      </c>
      <c r="F2">
        <v>6.8760457417114367</v>
      </c>
      <c r="G2">
        <v>15.30273751513505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25</v>
      </c>
      <c r="B5">
        <v>0</v>
      </c>
      <c r="C5">
        <v>0</v>
      </c>
      <c r="D5">
        <v>0</v>
      </c>
      <c r="E5">
        <v>0</v>
      </c>
      <c r="F5">
        <v>6.8760457417114367</v>
      </c>
      <c r="G5">
        <v>15.30273751513505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28</v>
      </c>
      <c r="B8">
        <v>0</v>
      </c>
      <c r="C8">
        <v>0</v>
      </c>
      <c r="D8">
        <v>0</v>
      </c>
      <c r="E8">
        <v>0</v>
      </c>
      <c r="F8">
        <v>6.8760457417114367</v>
      </c>
      <c r="G8">
        <v>15.30273751513505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31</v>
      </c>
      <c r="B11">
        <v>54.981583193345671</v>
      </c>
      <c r="C11">
        <v>37.520633300872653</v>
      </c>
      <c r="D11">
        <v>26.930783150548049</v>
      </c>
      <c r="E11">
        <v>54.178111602126883</v>
      </c>
      <c r="F11">
        <v>79.123787271576532</v>
      </c>
      <c r="G11">
        <v>87.550479045000145</v>
      </c>
      <c r="H11">
        <v>11.722543645632239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21.48871024727811</v>
      </c>
      <c r="X11">
        <v>41.978842208334129</v>
      </c>
      <c r="Y11">
        <v>58.485680185918682</v>
      </c>
    </row>
    <row r="12" spans="1:25" x14ac:dyDescent="0.3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34</v>
      </c>
      <c r="B14">
        <v>28.050800042797619</v>
      </c>
      <c r="C14">
        <v>10.58985015032459</v>
      </c>
      <c r="D14">
        <v>0</v>
      </c>
      <c r="E14">
        <v>27.24732845157882</v>
      </c>
      <c r="F14">
        <v>52.19300412102848</v>
      </c>
      <c r="G14">
        <v>60.619695894452093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15.04805905778608</v>
      </c>
      <c r="Y14">
        <v>31.55489703537063</v>
      </c>
    </row>
    <row r="15" spans="1:25" x14ac:dyDescent="0.3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37</v>
      </c>
      <c r="B17">
        <v>17.460949892473021</v>
      </c>
      <c r="C17">
        <v>0</v>
      </c>
      <c r="D17">
        <v>0</v>
      </c>
      <c r="E17">
        <v>16.65747830125423</v>
      </c>
      <c r="F17">
        <v>41.603153970703893</v>
      </c>
      <c r="G17">
        <v>50.029845744127499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4.4582089074614828</v>
      </c>
      <c r="Y17">
        <v>20.965046885046039</v>
      </c>
    </row>
    <row r="18" spans="1:25" x14ac:dyDescent="0.3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40</v>
      </c>
      <c r="B20">
        <v>17.460949892473021</v>
      </c>
      <c r="C20">
        <v>0</v>
      </c>
      <c r="D20">
        <v>0</v>
      </c>
      <c r="E20">
        <v>16.65747830125423</v>
      </c>
      <c r="F20">
        <v>41.603153970703893</v>
      </c>
      <c r="G20">
        <v>50.029845744127499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4.4582089074614828</v>
      </c>
      <c r="Y20">
        <v>20.965046885046039</v>
      </c>
    </row>
    <row r="21" spans="1:25" x14ac:dyDescent="0.3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43</v>
      </c>
      <c r="B23">
        <v>17.460949892473021</v>
      </c>
      <c r="C23">
        <v>0</v>
      </c>
      <c r="D23">
        <v>0</v>
      </c>
      <c r="E23">
        <v>16.65747830125423</v>
      </c>
      <c r="F23">
        <v>41.603153970703893</v>
      </c>
      <c r="G23">
        <v>50.029845744127499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4.4582089074614828</v>
      </c>
      <c r="Y23">
        <v>20.965046885046039</v>
      </c>
    </row>
    <row r="24" spans="1:25" x14ac:dyDescent="0.3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46</v>
      </c>
      <c r="B26">
        <v>54.981583193345671</v>
      </c>
      <c r="C26">
        <v>37.520633300872653</v>
      </c>
      <c r="D26">
        <v>26.930783150548049</v>
      </c>
      <c r="E26">
        <v>54.178111602126883</v>
      </c>
      <c r="F26">
        <v>79.123787271576532</v>
      </c>
      <c r="G26">
        <v>87.550479045000145</v>
      </c>
      <c r="H26">
        <v>11.722543645632239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21.48871024727811</v>
      </c>
      <c r="X26">
        <v>41.978842208334129</v>
      </c>
      <c r="Y26">
        <v>58.485680185918682</v>
      </c>
    </row>
    <row r="27" spans="1:25" x14ac:dyDescent="0.3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49</v>
      </c>
      <c r="B29">
        <v>17.460949892473021</v>
      </c>
      <c r="C29">
        <v>0</v>
      </c>
      <c r="D29">
        <v>0</v>
      </c>
      <c r="E29">
        <v>16.65747830125423</v>
      </c>
      <c r="F29">
        <v>41.603153970703893</v>
      </c>
      <c r="G29">
        <v>50.029845744127499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4.4582089074614828</v>
      </c>
      <c r="Y29">
        <v>20.965046885046039</v>
      </c>
    </row>
    <row r="30" spans="1:25" x14ac:dyDescent="0.3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52</v>
      </c>
      <c r="B32">
        <v>0.80347159121879486</v>
      </c>
      <c r="C32">
        <v>0</v>
      </c>
      <c r="D32">
        <v>0</v>
      </c>
      <c r="E32">
        <v>0</v>
      </c>
      <c r="F32">
        <v>24.94567566944966</v>
      </c>
      <c r="G32">
        <v>33.372367442873269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4.3075685837918058</v>
      </c>
    </row>
    <row r="33" spans="1:25" x14ac:dyDescent="0.3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55</v>
      </c>
      <c r="B35">
        <v>0.80347159121879486</v>
      </c>
      <c r="C35">
        <v>0</v>
      </c>
      <c r="D35">
        <v>0</v>
      </c>
      <c r="E35">
        <v>0</v>
      </c>
      <c r="F35">
        <v>24.94567566944966</v>
      </c>
      <c r="G35">
        <v>33.372367442873269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4.3075685837918058</v>
      </c>
    </row>
    <row r="36" spans="1:25" x14ac:dyDescent="0.3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58</v>
      </c>
      <c r="B38">
        <v>0.80347159121879486</v>
      </c>
      <c r="C38">
        <v>0</v>
      </c>
      <c r="D38">
        <v>0</v>
      </c>
      <c r="E38">
        <v>0</v>
      </c>
      <c r="F38">
        <v>24.94567566944966</v>
      </c>
      <c r="G38">
        <v>33.372367442873269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4.3075685837918058</v>
      </c>
    </row>
    <row r="39" spans="1:25" x14ac:dyDescent="0.3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61</v>
      </c>
      <c r="B41">
        <v>61.532916892902051</v>
      </c>
      <c r="C41">
        <v>44.071967000429026</v>
      </c>
      <c r="D41">
        <v>33.482116850104433</v>
      </c>
      <c r="E41">
        <v>60.729445301683263</v>
      </c>
      <c r="F41">
        <v>85.675120971132912</v>
      </c>
      <c r="G41">
        <v>94.101812744556526</v>
      </c>
      <c r="H41">
        <v>18.27387734518862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6.5513336995563796</v>
      </c>
      <c r="W41">
        <v>28.040043946834491</v>
      </c>
      <c r="X41">
        <v>48.530175907890509</v>
      </c>
      <c r="Y41">
        <v>65.037013885475062</v>
      </c>
    </row>
    <row r="42" spans="1:25" x14ac:dyDescent="0.3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64</v>
      </c>
      <c r="B44">
        <v>125.98433334432271</v>
      </c>
      <c r="C44">
        <v>108.5233834518497</v>
      </c>
      <c r="D44">
        <v>97.933533301525131</v>
      </c>
      <c r="E44">
        <v>125.180861753104</v>
      </c>
      <c r="F44">
        <v>150.12653742255361</v>
      </c>
      <c r="G44">
        <v>158.5532291959772</v>
      </c>
      <c r="H44">
        <v>82.725293796609321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71.002750150977079</v>
      </c>
      <c r="W44">
        <v>92.491460398255185</v>
      </c>
      <c r="X44">
        <v>112.98159235931119</v>
      </c>
      <c r="Y44">
        <v>129.48843033689579</v>
      </c>
    </row>
    <row r="45" spans="1:25" x14ac:dyDescent="0.3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29.569521037333061</v>
      </c>
      <c r="V46">
        <v>0</v>
      </c>
      <c r="W46">
        <v>29.773490017433179</v>
      </c>
      <c r="X46">
        <v>0</v>
      </c>
      <c r="Y46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16"/>
  <sheetViews>
    <sheetView workbookViewId="0"/>
  </sheetViews>
  <sheetFormatPr defaultRowHeight="14.5" x14ac:dyDescent="0.35"/>
  <sheetData>
    <row r="1" spans="1:2" x14ac:dyDescent="0.35">
      <c r="B1" s="1" t="s">
        <v>67</v>
      </c>
    </row>
    <row r="2" spans="1:2" x14ac:dyDescent="0.35">
      <c r="A2" s="1">
        <v>0</v>
      </c>
      <c r="B2">
        <v>614457.25403777906</v>
      </c>
    </row>
    <row r="3" spans="1:2" x14ac:dyDescent="0.35">
      <c r="A3" s="1">
        <v>1</v>
      </c>
      <c r="B3">
        <v>614457.25403777906</v>
      </c>
    </row>
    <row r="4" spans="1:2" x14ac:dyDescent="0.35">
      <c r="A4" s="1">
        <v>2</v>
      </c>
      <c r="B4">
        <v>614457.25403777906</v>
      </c>
    </row>
    <row r="5" spans="1:2" x14ac:dyDescent="0.35">
      <c r="A5" s="1">
        <v>3</v>
      </c>
      <c r="B5">
        <v>587485.84651333001</v>
      </c>
    </row>
    <row r="6" spans="1:2" x14ac:dyDescent="0.35">
      <c r="A6" s="1">
        <v>4</v>
      </c>
      <c r="B6">
        <v>602330.70040343853</v>
      </c>
    </row>
    <row r="7" spans="1:2" x14ac:dyDescent="0.35">
      <c r="A7" s="1">
        <v>5</v>
      </c>
      <c r="B7">
        <v>606756.19878125913</v>
      </c>
    </row>
    <row r="8" spans="1:2" x14ac:dyDescent="0.35">
      <c r="A8" s="1">
        <v>6</v>
      </c>
      <c r="B8">
        <v>606756.19878125913</v>
      </c>
    </row>
    <row r="9" spans="1:2" x14ac:dyDescent="0.35">
      <c r="A9" s="1">
        <v>7</v>
      </c>
      <c r="B9">
        <v>606756.19878125913</v>
      </c>
    </row>
    <row r="10" spans="1:2" x14ac:dyDescent="0.35">
      <c r="A10" s="1">
        <v>8</v>
      </c>
      <c r="B10">
        <v>587485.84651333001</v>
      </c>
    </row>
    <row r="11" spans="1:2" x14ac:dyDescent="0.35">
      <c r="A11" s="1">
        <v>9</v>
      </c>
      <c r="B11">
        <v>606756.19878125913</v>
      </c>
    </row>
    <row r="12" spans="1:2" x14ac:dyDescent="0.35">
      <c r="A12" s="1">
        <v>10</v>
      </c>
      <c r="B12">
        <v>611994.61112595885</v>
      </c>
    </row>
    <row r="13" spans="1:2" x14ac:dyDescent="0.35">
      <c r="A13" s="1">
        <v>11</v>
      </c>
      <c r="B13">
        <v>611994.61112595885</v>
      </c>
    </row>
    <row r="14" spans="1:2" x14ac:dyDescent="0.35">
      <c r="A14" s="1">
        <v>12</v>
      </c>
      <c r="B14">
        <v>611994.61112595885</v>
      </c>
    </row>
    <row r="15" spans="1:2" x14ac:dyDescent="0.35">
      <c r="A15" s="1">
        <v>13</v>
      </c>
      <c r="B15">
        <v>583183.58567283128</v>
      </c>
    </row>
    <row r="16" spans="1:2" x14ac:dyDescent="0.35">
      <c r="A16" s="1">
        <v>14</v>
      </c>
      <c r="B16">
        <v>539790.16629019752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Costs and Revenues</vt:lpstr>
      <vt:lpstr>Connected Households</vt:lpstr>
      <vt:lpstr>Installed Capacities</vt:lpstr>
      <vt:lpstr>Added Capacities</vt:lpstr>
      <vt:lpstr>Retired Capacities</vt:lpstr>
      <vt:lpstr>DG Dispatch</vt:lpstr>
      <vt:lpstr>PV Dispatch</vt:lpstr>
      <vt:lpstr>Battery Input </vt:lpstr>
      <vt:lpstr>Battery Output</vt:lpstr>
      <vt:lpstr>State of Charge</vt:lpstr>
      <vt:lpstr>Fed-in Capacity</vt:lpstr>
      <vt:lpstr>Yearly demand</vt:lpstr>
      <vt:lpstr>Net demand</vt:lpstr>
      <vt:lpstr>Net surplus</vt:lpstr>
      <vt:lpstr>Unmet Demand</vt:lpstr>
      <vt:lpstr>Household Surplus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Elsa Bou Gebrael (Student)</cp:lastModifiedBy>
  <dcterms:created xsi:type="dcterms:W3CDTF">2025-09-08T04:51:41Z</dcterms:created>
  <dcterms:modified xsi:type="dcterms:W3CDTF">2025-10-22T07:22:16Z</dcterms:modified>
</cp:coreProperties>
</file>