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Inputs/"/>
    </mc:Choice>
  </mc:AlternateContent>
  <xr:revisionPtr revIDLastSave="246" documentId="6_{7DA8CDEE-914B-4384-BE83-347F050180D5}" xr6:coauthVersionLast="47" xr6:coauthVersionMax="47" xr10:uidLastSave="{C9F6A536-4F5A-401B-914D-3C4166CD7987}"/>
  <bookViews>
    <workbookView xWindow="-110" yWindow="-110" windowWidth="19420" windowHeight="10420" firstSheet="4" activeTab="8" xr2:uid="{00000000-000D-0000-FFFF-FFFF00000000}"/>
  </bookViews>
  <sheets>
    <sheet name="parameters" sheetId="1" r:id="rId1"/>
    <sheet name="rent_cap" sheetId="5" r:id="rId2"/>
    <sheet name="tech" sheetId="6" r:id="rId3"/>
    <sheet name="capex" sheetId="7" r:id="rId4"/>
    <sheet name="heat_rate" sheetId="8" r:id="rId5"/>
    <sheet name="day_weights" sheetId="2" r:id="rId6"/>
    <sheet name="cap_factors" sheetId="4" r:id="rId7"/>
    <sheet name="elec_demand (1)" sheetId="3" r:id="rId8"/>
    <sheet name="elec_demand (2)" sheetId="9" r:id="rId9"/>
  </sheets>
  <definedNames>
    <definedName name="d">'elec_demand (2)'!$B$6:$Y$8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3" i="8"/>
  <c r="B2" i="8"/>
</calcChain>
</file>

<file path=xl/sharedStrings.xml><?xml version="1.0" encoding="utf-8"?>
<sst xmlns="http://schemas.openxmlformats.org/spreadsheetml/2006/main" count="40" uniqueCount="34">
  <si>
    <t>min SoC</t>
  </si>
  <si>
    <t>Battery Eff</t>
  </si>
  <si>
    <t>Planning horizon</t>
  </si>
  <si>
    <t>Days</t>
  </si>
  <si>
    <t>Hours</t>
  </si>
  <si>
    <t>Type 1</t>
  </si>
  <si>
    <t>Type 2</t>
  </si>
  <si>
    <t>No available</t>
  </si>
  <si>
    <t>Initial capacity</t>
  </si>
  <si>
    <t>Remaining lifetime</t>
  </si>
  <si>
    <t>Lifetime</t>
  </si>
  <si>
    <t>UOFC</t>
  </si>
  <si>
    <t>UOVC</t>
  </si>
  <si>
    <t>Diesel Generator</t>
  </si>
  <si>
    <t>Owned PV</t>
  </si>
  <si>
    <t>Owned Batteries</t>
  </si>
  <si>
    <t>HR</t>
  </si>
  <si>
    <t>Weight</t>
  </si>
  <si>
    <t>Day 1</t>
  </si>
  <si>
    <t>Day 2</t>
  </si>
  <si>
    <t>Day 3</t>
  </si>
  <si>
    <t>day 1</t>
  </si>
  <si>
    <t>day 2</t>
  </si>
  <si>
    <t>day 3</t>
  </si>
  <si>
    <t>0%-30%</t>
  </si>
  <si>
    <t>30%-60%</t>
  </si>
  <si>
    <t>60%-100%</t>
  </si>
  <si>
    <t>summer</t>
  </si>
  <si>
    <t>fall_spring</t>
  </si>
  <si>
    <t>winter</t>
  </si>
  <si>
    <t>Avg PV capacity (kWp)</t>
  </si>
  <si>
    <t>DG annual capacity</t>
  </si>
  <si>
    <t>Diesel</t>
  </si>
  <si>
    <t>Allow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</si>
</sst>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fmlaLink="$G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171450</xdr:rowOff>
        </xdr:from>
        <xdr:to>
          <xdr:col>6</xdr:col>
          <xdr:colOff>241300</xdr:colOff>
          <xdr:row>2</xdr:row>
          <xdr:rowOff>6350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workbookViewId="0">
      <selection activeCell="K8" sqref="K8"/>
    </sheetView>
  </sheetViews>
  <sheetFormatPr defaultColWidth="9" defaultRowHeight="14.5" x14ac:dyDescent="0.35"/>
  <cols>
    <col min="1" max="1" width="12" bestFit="1" customWidth="1"/>
    <col min="2" max="2" width="16.54296875" bestFit="1" customWidth="1"/>
    <col min="3" max="3" width="9.08984375" bestFit="1" customWidth="1"/>
    <col min="4" max="4" width="14.08984375" bestFit="1" customWidth="1"/>
    <col min="7" max="7" width="11.08984375" bestFit="1" customWidth="1"/>
    <col min="8" max="8" width="11" customWidth="1"/>
  </cols>
  <sheetData>
    <row r="1" spans="1:7" x14ac:dyDescent="0.3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33</v>
      </c>
    </row>
    <row r="2" spans="1:7" x14ac:dyDescent="0.35">
      <c r="A2">
        <v>0.02</v>
      </c>
      <c r="B2">
        <v>0.8</v>
      </c>
      <c r="C2">
        <v>0.99</v>
      </c>
      <c r="D2">
        <v>15</v>
      </c>
      <c r="E2">
        <v>3</v>
      </c>
      <c r="F2">
        <v>24</v>
      </c>
      <c r="G2" t="b"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0</xdr:row>
                    <xdr:rowOff>171450</xdr:rowOff>
                  </from>
                  <to>
                    <xdr:col>6</xdr:col>
                    <xdr:colOff>241300</xdr:colOff>
                    <xdr:row>2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FB98-37F3-4971-B4CD-1E6A7262204F}">
  <sheetPr codeName="Sheet2"/>
  <dimension ref="A1:C3"/>
  <sheetViews>
    <sheetView workbookViewId="0">
      <selection activeCell="M6" sqref="M6"/>
    </sheetView>
  </sheetViews>
  <sheetFormatPr defaultColWidth="9" defaultRowHeight="14.5" x14ac:dyDescent="0.35"/>
  <cols>
    <col min="1" max="1" width="18.81640625" bestFit="1" customWidth="1"/>
    <col min="2" max="2" width="14.90625" bestFit="1" customWidth="1"/>
    <col min="3" max="3" width="17.26953125" bestFit="1" customWidth="1"/>
  </cols>
  <sheetData>
    <row r="1" spans="1:3" x14ac:dyDescent="0.35">
      <c r="B1" t="s">
        <v>5</v>
      </c>
      <c r="C1" t="s">
        <v>6</v>
      </c>
    </row>
    <row r="2" spans="1:3" x14ac:dyDescent="0.35">
      <c r="A2" t="s">
        <v>7</v>
      </c>
      <c r="B2">
        <v>400</v>
      </c>
      <c r="C2">
        <v>250</v>
      </c>
    </row>
    <row r="3" spans="1:3" x14ac:dyDescent="0.35">
      <c r="A3" t="s">
        <v>30</v>
      </c>
      <c r="B3">
        <v>0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F95-CF95-4796-ABE1-012E5312AEC2}">
  <sheetPr codeName="Sheet3"/>
  <dimension ref="A1:F5"/>
  <sheetViews>
    <sheetView workbookViewId="0">
      <selection activeCell="C10" sqref="C10"/>
    </sheetView>
  </sheetViews>
  <sheetFormatPr defaultColWidth="9" defaultRowHeight="14.5" x14ac:dyDescent="0.35"/>
  <cols>
    <col min="1" max="1" width="27.36328125" bestFit="1" customWidth="1"/>
    <col min="2" max="2" width="12.6328125" bestFit="1" customWidth="1"/>
    <col min="3" max="3" width="15.90625" bestFit="1" customWidth="1"/>
    <col min="4" max="4" width="7.36328125" bestFit="1" customWidth="1"/>
    <col min="5" max="5" width="5.7265625" bestFit="1" customWidth="1"/>
    <col min="6" max="6" width="6.81640625" bestFit="1" customWidth="1"/>
  </cols>
  <sheetData>
    <row r="1" spans="1:6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5">
      <c r="A2" t="s">
        <v>13</v>
      </c>
      <c r="B2">
        <v>400</v>
      </c>
      <c r="C2">
        <v>3</v>
      </c>
      <c r="D2" s="4">
        <v>5</v>
      </c>
      <c r="E2" s="4">
        <v>84.069000000000003</v>
      </c>
      <c r="F2">
        <v>1.4000710227272728E-2</v>
      </c>
    </row>
    <row r="3" spans="1:6" x14ac:dyDescent="0.35">
      <c r="A3" t="s">
        <v>14</v>
      </c>
      <c r="B3">
        <v>0</v>
      </c>
      <c r="C3">
        <v>0</v>
      </c>
      <c r="D3" s="4">
        <v>25</v>
      </c>
      <c r="E3" s="4">
        <v>21.8</v>
      </c>
      <c r="F3">
        <v>0</v>
      </c>
    </row>
    <row r="4" spans="1:6" x14ac:dyDescent="0.35">
      <c r="A4" t="s">
        <v>15</v>
      </c>
      <c r="B4">
        <v>0</v>
      </c>
      <c r="C4">
        <v>0</v>
      </c>
      <c r="D4" s="4">
        <v>8</v>
      </c>
      <c r="E4" s="4">
        <v>60.8</v>
      </c>
      <c r="F4" s="6">
        <v>5.9999999999999995E-4</v>
      </c>
    </row>
    <row r="5" spans="1:6" x14ac:dyDescent="0.35">
      <c r="A5" t="s">
        <v>32</v>
      </c>
      <c r="F5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110-F0D2-4F9D-B0C4-13B38005F879}">
  <sheetPr codeName="Sheet4"/>
  <dimension ref="A1:D16"/>
  <sheetViews>
    <sheetView workbookViewId="0">
      <selection activeCell="H7" sqref="H7"/>
    </sheetView>
  </sheetViews>
  <sheetFormatPr defaultColWidth="9" defaultRowHeight="14.5" x14ac:dyDescent="0.35"/>
  <cols>
    <col min="1" max="1" width="6.90625" customWidth="1"/>
    <col min="2" max="3" width="14.54296875" bestFit="1" customWidth="1"/>
    <col min="4" max="4" width="14.26953125" bestFit="1" customWidth="1"/>
  </cols>
  <sheetData>
    <row r="1" spans="1:4" x14ac:dyDescent="0.35">
      <c r="B1" t="s">
        <v>13</v>
      </c>
      <c r="C1" t="s">
        <v>14</v>
      </c>
      <c r="D1" t="s">
        <v>15</v>
      </c>
    </row>
    <row r="2" spans="1:4" x14ac:dyDescent="0.35">
      <c r="A2">
        <v>0</v>
      </c>
      <c r="B2">
        <v>800</v>
      </c>
      <c r="C2">
        <v>963.61300000000006</v>
      </c>
      <c r="D2">
        <v>335.12299999999999</v>
      </c>
    </row>
    <row r="3" spans="1:4" x14ac:dyDescent="0.35">
      <c r="A3">
        <v>1</v>
      </c>
      <c r="B3">
        <v>800</v>
      </c>
      <c r="C3">
        <v>910.60199999999998</v>
      </c>
      <c r="D3">
        <v>323.07068600000002</v>
      </c>
    </row>
    <row r="4" spans="1:4" x14ac:dyDescent="0.35">
      <c r="A4">
        <v>2</v>
      </c>
      <c r="B4">
        <v>800</v>
      </c>
      <c r="C4">
        <v>856.41399999999999</v>
      </c>
      <c r="D4">
        <v>310.63</v>
      </c>
    </row>
    <row r="5" spans="1:4" x14ac:dyDescent="0.35">
      <c r="A5">
        <v>3</v>
      </c>
      <c r="B5">
        <v>800</v>
      </c>
      <c r="C5">
        <v>803.40300000000002</v>
      </c>
      <c r="D5">
        <v>298.57800000000003</v>
      </c>
    </row>
    <row r="6" spans="1:4" x14ac:dyDescent="0.35">
      <c r="A6">
        <v>4</v>
      </c>
      <c r="B6">
        <v>800</v>
      </c>
      <c r="C6">
        <v>790.44499999999994</v>
      </c>
      <c r="D6">
        <v>286.52600000000001</v>
      </c>
    </row>
    <row r="7" spans="1:4" x14ac:dyDescent="0.35">
      <c r="A7">
        <v>5</v>
      </c>
      <c r="B7">
        <v>800</v>
      </c>
      <c r="C7">
        <v>777.48700000000008</v>
      </c>
      <c r="D7">
        <v>274.08500000000004</v>
      </c>
    </row>
    <row r="8" spans="1:4" x14ac:dyDescent="0.35">
      <c r="A8">
        <v>6</v>
      </c>
      <c r="B8">
        <v>800</v>
      </c>
      <c r="C8">
        <v>765.70699999999999</v>
      </c>
      <c r="D8">
        <v>269.80900000000003</v>
      </c>
    </row>
    <row r="9" spans="1:4" x14ac:dyDescent="0.35">
      <c r="A9">
        <v>7</v>
      </c>
      <c r="B9">
        <v>800</v>
      </c>
      <c r="C9">
        <v>752.74900000000002</v>
      </c>
      <c r="D9">
        <v>265.92099999999999</v>
      </c>
    </row>
    <row r="10" spans="1:4" x14ac:dyDescent="0.35">
      <c r="A10">
        <v>8</v>
      </c>
      <c r="B10">
        <v>800</v>
      </c>
      <c r="C10">
        <v>739.79099999999994</v>
      </c>
      <c r="D10">
        <v>261.64400000000001</v>
      </c>
    </row>
    <row r="11" spans="1:4" x14ac:dyDescent="0.35">
      <c r="A11">
        <v>9</v>
      </c>
      <c r="B11">
        <v>800</v>
      </c>
      <c r="C11">
        <v>728.01</v>
      </c>
      <c r="D11">
        <v>257.36799999999999</v>
      </c>
    </row>
    <row r="12" spans="1:4" x14ac:dyDescent="0.35">
      <c r="A12">
        <v>10</v>
      </c>
      <c r="B12">
        <v>800</v>
      </c>
      <c r="C12">
        <v>715.05200000000002</v>
      </c>
      <c r="D12">
        <v>253.09100000000001</v>
      </c>
    </row>
    <row r="13" spans="1:4" x14ac:dyDescent="0.35">
      <c r="A13">
        <v>11</v>
      </c>
      <c r="B13">
        <v>800</v>
      </c>
      <c r="C13">
        <v>703.27200000000005</v>
      </c>
      <c r="D13">
        <v>249.20400000000001</v>
      </c>
    </row>
    <row r="14" spans="1:4" x14ac:dyDescent="0.35">
      <c r="A14">
        <v>12</v>
      </c>
      <c r="B14">
        <v>800</v>
      </c>
      <c r="C14">
        <v>690.31399999999996</v>
      </c>
      <c r="D14">
        <v>244.92699999999999</v>
      </c>
    </row>
    <row r="15" spans="1:4" x14ac:dyDescent="0.35">
      <c r="A15">
        <v>13</v>
      </c>
      <c r="B15">
        <v>800</v>
      </c>
      <c r="C15">
        <v>677.35599999999999</v>
      </c>
      <c r="D15">
        <v>240.65100000000001</v>
      </c>
    </row>
    <row r="16" spans="1:4" x14ac:dyDescent="0.35">
      <c r="A16">
        <v>14</v>
      </c>
      <c r="B16">
        <v>800</v>
      </c>
      <c r="C16">
        <v>665.57599999999991</v>
      </c>
      <c r="D16">
        <v>236.374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C09-E6BA-453E-9B68-3059E2926BDF}">
  <sheetPr codeName="Sheet5"/>
  <dimension ref="A1:B4"/>
  <sheetViews>
    <sheetView workbookViewId="0">
      <selection activeCell="C11" sqref="C11"/>
    </sheetView>
  </sheetViews>
  <sheetFormatPr defaultColWidth="9" defaultRowHeight="14.5" x14ac:dyDescent="0.35"/>
  <cols>
    <col min="1" max="1" width="10" customWidth="1"/>
    <col min="2" max="3" width="8.6328125" bestFit="1" customWidth="1"/>
    <col min="4" max="4" width="9.6328125" bestFit="1" customWidth="1"/>
  </cols>
  <sheetData>
    <row r="1" spans="1:2" x14ac:dyDescent="0.35">
      <c r="B1" t="s">
        <v>16</v>
      </c>
    </row>
    <row r="2" spans="1:2" x14ac:dyDescent="0.35">
      <c r="A2" t="s">
        <v>24</v>
      </c>
      <c r="B2">
        <f>(-0.2129*(0.3^3+0^3) +0.6056*(0.3^2+0^2) - 0.5538*(0.3+0) + 0.4067*2)/2</f>
        <v>0.34800785000000001</v>
      </c>
    </row>
    <row r="3" spans="1:2" x14ac:dyDescent="0.35">
      <c r="A3" t="s">
        <v>25</v>
      </c>
      <c r="B3">
        <f>(-0.2129*(0.6^3+0.3^3) +0.6056*(0.6^2+0.3^2) - 0.5538*(0.6+0.3) + 0.4067*2)/2</f>
        <v>0.26788265000000006</v>
      </c>
    </row>
    <row r="4" spans="1:2" x14ac:dyDescent="0.35">
      <c r="A4" t="s">
        <v>26</v>
      </c>
      <c r="B4">
        <f>(-0.2129*(1^3+0.6^3) +0.6056*(1^2+0.6^2) - 0.5538*(1+0.6) + 0.4067*2)/2</f>
        <v>0.24602479999999999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018-F4D8-4049-8785-D914448B1EBA}">
  <sheetPr codeName="Sheet6"/>
  <dimension ref="A1:B4"/>
  <sheetViews>
    <sheetView workbookViewId="0">
      <selection activeCell="F7" sqref="F7"/>
    </sheetView>
  </sheetViews>
  <sheetFormatPr defaultColWidth="9" defaultRowHeight="14.5" x14ac:dyDescent="0.35"/>
  <sheetData>
    <row r="1" spans="1:2" x14ac:dyDescent="0.35">
      <c r="B1" t="s">
        <v>17</v>
      </c>
    </row>
    <row r="2" spans="1:2" x14ac:dyDescent="0.35">
      <c r="A2" t="s">
        <v>18</v>
      </c>
      <c r="B2">
        <v>199</v>
      </c>
    </row>
    <row r="3" spans="1:2" x14ac:dyDescent="0.35">
      <c r="A3" t="s">
        <v>19</v>
      </c>
      <c r="B3">
        <v>106</v>
      </c>
    </row>
    <row r="4" spans="1:2" x14ac:dyDescent="0.35">
      <c r="A4" t="s">
        <v>20</v>
      </c>
      <c r="B4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DE72-C341-45B3-B73B-C7F84D832AAF}">
  <sheetPr codeName="Sheet7"/>
  <dimension ref="A1:Y4"/>
  <sheetViews>
    <sheetView workbookViewId="0">
      <selection activeCell="N14" sqref="N14"/>
    </sheetView>
  </sheetViews>
  <sheetFormatPr defaultColWidth="9" defaultRowHeight="14.5" x14ac:dyDescent="0.35"/>
  <cols>
    <col min="1" max="1" width="9.453125" bestFit="1" customWidth="1"/>
    <col min="2" max="25" width="5.6328125" customWidth="1"/>
  </cols>
  <sheetData>
    <row r="1" spans="1:25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5">
      <c r="A2" s="5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4.0201005025125598E-3</v>
      </c>
      <c r="H2">
        <v>4.1170854271356763E-2</v>
      </c>
      <c r="I2">
        <v>0.15498492462311561</v>
      </c>
      <c r="J2">
        <v>0.34120100502512568</v>
      </c>
      <c r="K2">
        <v>0.51137185929648243</v>
      </c>
      <c r="L2">
        <v>0.63440201005025132</v>
      </c>
      <c r="M2">
        <v>0.70589447236180902</v>
      </c>
      <c r="N2">
        <v>0.7173165829145729</v>
      </c>
      <c r="O2">
        <v>0.67734170854271358</v>
      </c>
      <c r="P2">
        <v>0.57809547738693468</v>
      </c>
      <c r="Q2">
        <v>0.43412562814070349</v>
      </c>
      <c r="R2">
        <v>0.25252763819095481</v>
      </c>
      <c r="S2">
        <v>9.1608040201005048E-2</v>
      </c>
      <c r="T2">
        <v>1.7597989949748739E-2</v>
      </c>
      <c r="U2">
        <v>3.2160804020100472E-4</v>
      </c>
      <c r="V2">
        <v>0</v>
      </c>
      <c r="W2">
        <v>0</v>
      </c>
      <c r="X2">
        <v>0</v>
      </c>
      <c r="Y2">
        <v>0</v>
      </c>
    </row>
    <row r="3" spans="1:25" x14ac:dyDescent="0.35">
      <c r="A3" s="5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2.1509433962264152E-3</v>
      </c>
      <c r="H3">
        <v>2.0773584905660381E-2</v>
      </c>
      <c r="I3">
        <v>7.4056603773584917E-2</v>
      </c>
      <c r="J3">
        <v>0.20321698113207551</v>
      </c>
      <c r="K3">
        <v>0.34733018867924531</v>
      </c>
      <c r="L3">
        <v>0.46702830188679251</v>
      </c>
      <c r="M3">
        <v>0.54499999999999993</v>
      </c>
      <c r="N3">
        <v>0.55942452830188683</v>
      </c>
      <c r="O3">
        <v>0.51176415094339622</v>
      </c>
      <c r="P3">
        <v>0.41073584905660382</v>
      </c>
      <c r="Q3">
        <v>0.27456603773584909</v>
      </c>
      <c r="R3">
        <v>0.13354716981132081</v>
      </c>
      <c r="S3">
        <v>3.995283018867922E-2</v>
      </c>
      <c r="T3">
        <v>8.6698113207547139E-3</v>
      </c>
      <c r="U3">
        <v>1.4150943396226421E-4</v>
      </c>
      <c r="V3">
        <v>0</v>
      </c>
      <c r="W3">
        <v>0</v>
      </c>
      <c r="X3">
        <v>0</v>
      </c>
      <c r="Y3">
        <v>0</v>
      </c>
    </row>
    <row r="4" spans="1:25" x14ac:dyDescent="0.35">
      <c r="A4" s="5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1.8032786885245899E-3</v>
      </c>
      <c r="H4">
        <v>1.6032786885245912E-2</v>
      </c>
      <c r="I4">
        <v>5.4229508196721322E-2</v>
      </c>
      <c r="J4">
        <v>0.1274918032786885</v>
      </c>
      <c r="K4">
        <v>0.20950819672131141</v>
      </c>
      <c r="L4">
        <v>0.26809836065573772</v>
      </c>
      <c r="M4">
        <v>0.28267213114754092</v>
      </c>
      <c r="N4">
        <v>0.27595081967213131</v>
      </c>
      <c r="O4">
        <v>0.25488524590163941</v>
      </c>
      <c r="P4">
        <v>0.21809836065573759</v>
      </c>
      <c r="Q4">
        <v>0.151</v>
      </c>
      <c r="R4">
        <v>8.1081967213114725E-2</v>
      </c>
      <c r="S4">
        <v>3.1426229508196707E-2</v>
      </c>
      <c r="T4">
        <v>7.7049180327868824E-3</v>
      </c>
      <c r="U4">
        <v>9.8360655737705021E-5</v>
      </c>
      <c r="V4">
        <v>0</v>
      </c>
      <c r="W4">
        <v>0</v>
      </c>
      <c r="X4">
        <v>0</v>
      </c>
      <c r="Y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D9F3-A079-4BB6-8141-C898B88CBE8C}">
  <sheetPr codeName="Sheet8"/>
  <dimension ref="A1:Y31"/>
  <sheetViews>
    <sheetView topLeftCell="B1" workbookViewId="0">
      <selection activeCell="B2" sqref="B2:Y4"/>
    </sheetView>
  </sheetViews>
  <sheetFormatPr defaultColWidth="9" defaultRowHeight="14.5" x14ac:dyDescent="0.35"/>
  <cols>
    <col min="2" max="25" width="6.632812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0.55103020533172187</v>
      </c>
      <c r="C2">
        <v>0.49610429857327759</v>
      </c>
      <c r="D2">
        <v>0.47175502041968831</v>
      </c>
      <c r="E2">
        <v>0.54190573537941633</v>
      </c>
      <c r="F2">
        <v>0.60989323426304376</v>
      </c>
      <c r="G2">
        <v>0.65615698507344467</v>
      </c>
      <c r="H2">
        <v>0.57345733893247952</v>
      </c>
      <c r="I2">
        <v>0.52579297250377299</v>
      </c>
      <c r="J2">
        <v>0.45261476131671574</v>
      </c>
      <c r="K2">
        <v>0.55022462761245139</v>
      </c>
      <c r="L2">
        <v>0.58941603742496806</v>
      </c>
      <c r="M2">
        <v>0.57586558306818181</v>
      </c>
      <c r="N2">
        <v>0.57353265899147732</v>
      </c>
      <c r="O2">
        <v>0.57524552855421685</v>
      </c>
      <c r="P2">
        <v>0.57808248938817386</v>
      </c>
      <c r="Q2">
        <v>0.55576422468612374</v>
      </c>
      <c r="R2">
        <v>0.53896384453533031</v>
      </c>
      <c r="S2">
        <v>0.44292002485215048</v>
      </c>
      <c r="T2">
        <v>0.34825255193370169</v>
      </c>
      <c r="U2">
        <v>0.38160444029252077</v>
      </c>
      <c r="V2">
        <v>0.47419720332388365</v>
      </c>
      <c r="W2">
        <v>0.4877111717521122</v>
      </c>
      <c r="X2">
        <v>0.52533636824763186</v>
      </c>
      <c r="Y2">
        <v>0.57693786350230403</v>
      </c>
    </row>
    <row r="3" spans="1:25" x14ac:dyDescent="0.35">
      <c r="A3" t="s">
        <v>22</v>
      </c>
      <c r="B3">
        <v>0.30086097636604769</v>
      </c>
      <c r="C3">
        <v>0.33043288540182392</v>
      </c>
      <c r="D3">
        <v>0.27809402356071966</v>
      </c>
      <c r="E3">
        <v>0.30451730640166025</v>
      </c>
      <c r="F3">
        <v>0.28329803098345968</v>
      </c>
      <c r="G3">
        <v>0.26207875556525934</v>
      </c>
      <c r="H3">
        <v>0.2408594801470588</v>
      </c>
      <c r="I3">
        <v>0.24880595</v>
      </c>
      <c r="J3">
        <v>0.31709406666666673</v>
      </c>
      <c r="K3">
        <v>0.34460359743589747</v>
      </c>
      <c r="L3">
        <v>0.34638594944968548</v>
      </c>
      <c r="M3">
        <v>0.35533508480504583</v>
      </c>
      <c r="N3">
        <v>0.32835428020833329</v>
      </c>
      <c r="O3">
        <v>0.35649061111111108</v>
      </c>
      <c r="P3">
        <v>0.33493601853582561</v>
      </c>
      <c r="Q3">
        <v>0.34995443521505382</v>
      </c>
      <c r="R3">
        <v>0.36419875990990991</v>
      </c>
      <c r="S3">
        <v>0.3688032323979592</v>
      </c>
      <c r="T3">
        <v>0.37649176670560752</v>
      </c>
      <c r="U3">
        <v>0.3969946268081761</v>
      </c>
      <c r="V3">
        <v>0.39245690752873558</v>
      </c>
      <c r="W3">
        <v>0.45282445143678174</v>
      </c>
      <c r="X3">
        <v>0.36701057704378137</v>
      </c>
      <c r="Y3">
        <v>0.39380200730040377</v>
      </c>
    </row>
    <row r="4" spans="1:25" x14ac:dyDescent="0.35">
      <c r="A4" t="s">
        <v>23</v>
      </c>
      <c r="B4">
        <v>0.26698338071273048</v>
      </c>
      <c r="C4">
        <v>0.2538515773604087</v>
      </c>
      <c r="D4">
        <v>0.21363559324698039</v>
      </c>
      <c r="E4">
        <v>0.20448834535510552</v>
      </c>
      <c r="F4">
        <v>0.19534109746323072</v>
      </c>
      <c r="G4">
        <v>0.26234729241111748</v>
      </c>
      <c r="H4">
        <v>0.27239182303155163</v>
      </c>
      <c r="I4">
        <v>0.30422873565173092</v>
      </c>
      <c r="J4">
        <v>0.31748855359849026</v>
      </c>
      <c r="K4">
        <v>0.32253314542633843</v>
      </c>
      <c r="L4">
        <v>0.3372116907030957</v>
      </c>
      <c r="M4">
        <v>0.3473144598690126</v>
      </c>
      <c r="N4">
        <v>0.31921386116308298</v>
      </c>
      <c r="O4">
        <v>0.34614134612960695</v>
      </c>
      <c r="P4">
        <v>0.344320010122869</v>
      </c>
      <c r="Q4">
        <v>0.37876250407361461</v>
      </c>
      <c r="R4">
        <v>0.42284536009515272</v>
      </c>
      <c r="S4">
        <v>0.40845596142417745</v>
      </c>
      <c r="T4">
        <v>0.33580565438096399</v>
      </c>
      <c r="U4">
        <v>0.45075077460331781</v>
      </c>
      <c r="V4">
        <v>0.35718453807084516</v>
      </c>
      <c r="W4">
        <v>0.45735928394765896</v>
      </c>
      <c r="X4">
        <v>0.33068006431882202</v>
      </c>
      <c r="Y4">
        <v>0.32997560070809001</v>
      </c>
    </row>
    <row r="6" spans="1:25" x14ac:dyDescent="0.35">
      <c r="D6" s="4"/>
    </row>
    <row r="7" spans="1:25" x14ac:dyDescent="0.35">
      <c r="D7" s="4"/>
    </row>
    <row r="8" spans="1:25" x14ac:dyDescent="0.35">
      <c r="D8" s="4"/>
    </row>
    <row r="9" spans="1:25" x14ac:dyDescent="0.35">
      <c r="D9" s="4"/>
    </row>
    <row r="10" spans="1:25" x14ac:dyDescent="0.35">
      <c r="D10" s="4"/>
    </row>
    <row r="11" spans="1:25" x14ac:dyDescent="0.35">
      <c r="D11" s="4"/>
    </row>
    <row r="12" spans="1:25" x14ac:dyDescent="0.35">
      <c r="D12" s="4"/>
    </row>
    <row r="13" spans="1:25" x14ac:dyDescent="0.35">
      <c r="D13" s="4"/>
    </row>
    <row r="14" spans="1:25" x14ac:dyDescent="0.35">
      <c r="D14" s="4"/>
    </row>
    <row r="15" spans="1:25" x14ac:dyDescent="0.35">
      <c r="D15" s="4"/>
    </row>
    <row r="16" spans="1:25" x14ac:dyDescent="0.35">
      <c r="D16" s="4"/>
    </row>
    <row r="17" spans="2:4" x14ac:dyDescent="0.35">
      <c r="D17" s="4"/>
    </row>
    <row r="18" spans="2:4" x14ac:dyDescent="0.35">
      <c r="D18" s="4"/>
    </row>
    <row r="19" spans="2:4" x14ac:dyDescent="0.35">
      <c r="D19" s="4"/>
    </row>
    <row r="20" spans="2:4" x14ac:dyDescent="0.35">
      <c r="D20" s="4"/>
    </row>
    <row r="21" spans="2:4" x14ac:dyDescent="0.35">
      <c r="D21" s="4"/>
    </row>
    <row r="22" spans="2:4" x14ac:dyDescent="0.35">
      <c r="D22" s="4"/>
    </row>
    <row r="23" spans="2:4" x14ac:dyDescent="0.35">
      <c r="D23" s="4"/>
    </row>
    <row r="24" spans="2:4" x14ac:dyDescent="0.35">
      <c r="D24" s="4"/>
    </row>
    <row r="25" spans="2:4" x14ac:dyDescent="0.35">
      <c r="D25" s="4"/>
    </row>
    <row r="26" spans="2:4" x14ac:dyDescent="0.35">
      <c r="D26" s="4"/>
    </row>
    <row r="27" spans="2:4" x14ac:dyDescent="0.35">
      <c r="D27" s="4"/>
    </row>
    <row r="28" spans="2:4" x14ac:dyDescent="0.35">
      <c r="D28" s="4"/>
    </row>
    <row r="29" spans="2:4" x14ac:dyDescent="0.35">
      <c r="D29" s="4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374D-6AFF-43B6-B370-B2ECC1DAC459}">
  <sheetPr codeName="Sheet9"/>
  <dimension ref="A1:Y31"/>
  <sheetViews>
    <sheetView tabSelected="1" topLeftCell="B1" workbookViewId="0">
      <selection activeCell="M9" sqref="M9"/>
    </sheetView>
  </sheetViews>
  <sheetFormatPr defaultColWidth="9" defaultRowHeight="14.5" x14ac:dyDescent="0.35"/>
  <cols>
    <col min="2" max="25" width="6.632812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0.64928703812316724</v>
      </c>
      <c r="C2">
        <v>0.66732468936678602</v>
      </c>
      <c r="D2">
        <v>0.66392413381123061</v>
      </c>
      <c r="E2">
        <v>0.66067230368198115</v>
      </c>
      <c r="F2">
        <v>0.6516750081459759</v>
      </c>
      <c r="G2">
        <v>0.6274401759530791</v>
      </c>
      <c r="H2">
        <v>0.60505088325652845</v>
      </c>
      <c r="I2">
        <v>0.62057450076804921</v>
      </c>
      <c r="J2">
        <v>0.68841755941220761</v>
      </c>
      <c r="K2">
        <v>0.74890578690127074</v>
      </c>
      <c r="L2">
        <v>0.86696318199920364</v>
      </c>
      <c r="M2">
        <v>1.025523755475906</v>
      </c>
      <c r="N2">
        <v>1.119878634010355</v>
      </c>
      <c r="O2">
        <v>1.186166109119873</v>
      </c>
      <c r="P2">
        <v>1.0251870768618081</v>
      </c>
      <c r="Q2">
        <v>0.88724254992319529</v>
      </c>
      <c r="R2">
        <v>0.74724487327188949</v>
      </c>
      <c r="S2">
        <v>0.49384039938556074</v>
      </c>
      <c r="T2">
        <v>0.40557127496159762</v>
      </c>
      <c r="U2">
        <v>0.3961019393241168</v>
      </c>
      <c r="V2">
        <v>0.55229350856232573</v>
      </c>
      <c r="W2">
        <v>0.61662600006627233</v>
      </c>
      <c r="X2">
        <v>0.63838621351766522</v>
      </c>
      <c r="Y2">
        <v>0.62185117302052784</v>
      </c>
    </row>
    <row r="3" spans="1:25" x14ac:dyDescent="0.35">
      <c r="A3" t="s">
        <v>22</v>
      </c>
      <c r="B3">
        <v>0.18475517241379311</v>
      </c>
      <c r="C3">
        <v>0.16214137931034481</v>
      </c>
      <c r="D3">
        <v>0.1448298245614035</v>
      </c>
      <c r="E3">
        <v>0.1433526315789474</v>
      </c>
      <c r="F3">
        <v>0.127</v>
      </c>
      <c r="G3">
        <v>0.13865183333333328</v>
      </c>
      <c r="H3">
        <v>0.14666094833333329</v>
      </c>
      <c r="I3">
        <v>0.25572342649999996</v>
      </c>
      <c r="J3">
        <v>0.30850378316666671</v>
      </c>
      <c r="K3">
        <v>0.33145980666666669</v>
      </c>
      <c r="L3">
        <v>0.38475182633333332</v>
      </c>
      <c r="M3">
        <v>0.31717974500000001</v>
      </c>
      <c r="N3">
        <v>0.32032861583333327</v>
      </c>
      <c r="O3">
        <v>0.47160732666666672</v>
      </c>
      <c r="P3">
        <v>0.36909232166666667</v>
      </c>
      <c r="Q3">
        <v>0.25795499999999999</v>
      </c>
      <c r="R3">
        <v>0.35210199999999997</v>
      </c>
      <c r="S3">
        <v>0.25645883333333341</v>
      </c>
      <c r="T3">
        <v>0.23295133333333332</v>
      </c>
      <c r="U3">
        <v>0.26914016316666656</v>
      </c>
      <c r="V3">
        <v>0.30327129655172408</v>
      </c>
      <c r="W3">
        <v>0.28226081034482758</v>
      </c>
      <c r="X3">
        <v>0.2358750175438597</v>
      </c>
      <c r="Y3">
        <v>0.19264757142857142</v>
      </c>
    </row>
    <row r="4" spans="1:25" x14ac:dyDescent="0.35">
      <c r="A4" t="s">
        <v>23</v>
      </c>
      <c r="B4">
        <v>0.29215451158738037</v>
      </c>
      <c r="C4">
        <v>0.26282476061785742</v>
      </c>
      <c r="D4">
        <v>0.2526449428776808</v>
      </c>
      <c r="E4">
        <v>0.25855449801810787</v>
      </c>
      <c r="F4">
        <v>0.26913843615055588</v>
      </c>
      <c r="G4">
        <v>0.25942136433014545</v>
      </c>
      <c r="H4">
        <v>0.27721292072025938</v>
      </c>
      <c r="I4">
        <v>0.351953955453149</v>
      </c>
      <c r="J4">
        <v>0.37542224782386069</v>
      </c>
      <c r="K4">
        <v>0.4110577215066355</v>
      </c>
      <c r="L4">
        <v>0.4224946364567333</v>
      </c>
      <c r="M4">
        <v>0.41664988095238104</v>
      </c>
      <c r="N4">
        <v>0.41653241131067803</v>
      </c>
      <c r="O4">
        <v>0.36737431814302779</v>
      </c>
      <c r="P4">
        <v>0.33236718936678605</v>
      </c>
      <c r="Q4">
        <v>0.34262816648899413</v>
      </c>
      <c r="R4">
        <v>0.35694885820889249</v>
      </c>
      <c r="S4">
        <v>0.36824177190199192</v>
      </c>
      <c r="T4">
        <v>0.40531298283473099</v>
      </c>
      <c r="U4">
        <v>0.42446832068360574</v>
      </c>
      <c r="V4">
        <v>0.43705531238195972</v>
      </c>
      <c r="W4">
        <v>0.4143171390301098</v>
      </c>
      <c r="X4">
        <v>0.37375051864603331</v>
      </c>
      <c r="Y4">
        <v>0.3463776522754351</v>
      </c>
    </row>
    <row r="13" spans="1:25" x14ac:dyDescent="0.35">
      <c r="B13" s="1"/>
      <c r="C13" s="2"/>
      <c r="D13" s="3"/>
    </row>
    <row r="14" spans="1:25" x14ac:dyDescent="0.35">
      <c r="B14" s="1"/>
      <c r="C14" s="2"/>
      <c r="D14" s="3"/>
    </row>
    <row r="15" spans="1:25" x14ac:dyDescent="0.35">
      <c r="B15" s="1"/>
      <c r="C15" s="2"/>
      <c r="D15" s="3"/>
    </row>
    <row r="16" spans="1:25" x14ac:dyDescent="0.35">
      <c r="B16" s="1"/>
      <c r="C16" s="2"/>
      <c r="D16" s="3"/>
    </row>
    <row r="17" spans="2:4" x14ac:dyDescent="0.35">
      <c r="B17" s="1"/>
      <c r="C17" s="2"/>
      <c r="D17" s="3"/>
    </row>
    <row r="18" spans="2:4" x14ac:dyDescent="0.35">
      <c r="B18" s="1"/>
      <c r="C18" s="2"/>
      <c r="D18" s="3"/>
    </row>
    <row r="19" spans="2:4" x14ac:dyDescent="0.35">
      <c r="B19" s="1"/>
      <c r="C19" s="2"/>
      <c r="D19" s="3"/>
    </row>
    <row r="20" spans="2:4" x14ac:dyDescent="0.35">
      <c r="B20" s="1"/>
      <c r="C20" s="2"/>
      <c r="D20" s="3"/>
    </row>
    <row r="21" spans="2:4" x14ac:dyDescent="0.35">
      <c r="B21" s="1"/>
      <c r="C21" s="2"/>
      <c r="D21" s="3"/>
    </row>
    <row r="22" spans="2:4" x14ac:dyDescent="0.35">
      <c r="B22" s="1"/>
      <c r="C22" s="2"/>
      <c r="D22" s="3"/>
    </row>
    <row r="23" spans="2:4" x14ac:dyDescent="0.35">
      <c r="B23" s="1"/>
      <c r="C23" s="2"/>
      <c r="D23" s="3"/>
    </row>
    <row r="24" spans="2:4" x14ac:dyDescent="0.35">
      <c r="B24" s="1"/>
      <c r="C24" s="2"/>
      <c r="D24" s="3"/>
    </row>
    <row r="25" spans="2:4" x14ac:dyDescent="0.35">
      <c r="B25" s="1"/>
      <c r="C25" s="2"/>
      <c r="D25" s="3"/>
    </row>
    <row r="26" spans="2:4" x14ac:dyDescent="0.35">
      <c r="B26" s="1"/>
      <c r="C26" s="2"/>
      <c r="D26" s="3"/>
    </row>
    <row r="27" spans="2:4" x14ac:dyDescent="0.35">
      <c r="B27" s="1"/>
      <c r="C27" s="2"/>
      <c r="D27" s="3"/>
    </row>
    <row r="28" spans="2:4" x14ac:dyDescent="0.35">
      <c r="B28" s="1"/>
      <c r="C28" s="2"/>
      <c r="D28" s="3"/>
    </row>
    <row r="29" spans="2:4" x14ac:dyDescent="0.35">
      <c r="B29" s="1"/>
      <c r="C29" s="2"/>
      <c r="D29" s="3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8" ma:contentTypeDescription="Create a new document." ma:contentTypeScope="" ma:versionID="2e645ef68b9493f2ee8bae9e534bc24f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a06da6e71fc3d3bdf7cbe176c2a8afa1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5B8A76-94F3-412F-9855-4B93BB4C4C10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28683373-984a-4841-9f0e-018f3f7bab1f"/>
    <ds:schemaRef ds:uri="http://schemas.openxmlformats.org/package/2006/metadata/core-properties"/>
    <ds:schemaRef ds:uri="6d4e152b-60f6-4719-8921-68b5b8011cd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CE34160-36D4-4F46-97A9-A281FB44CD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E4FBA5-6C26-4B97-9218-92B658F85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parameters</vt:lpstr>
      <vt:lpstr>rent_cap</vt:lpstr>
      <vt:lpstr>tech</vt:lpstr>
      <vt:lpstr>capex</vt:lpstr>
      <vt:lpstr>heat_rate</vt:lpstr>
      <vt:lpstr>day_weights</vt:lpstr>
      <vt:lpstr>cap_factors</vt:lpstr>
      <vt:lpstr>elec_demand (1)</vt:lpstr>
      <vt:lpstr>elec_demand (2)</vt:lpstr>
      <vt:lpstr>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</dc:creator>
  <cp:keywords/>
  <dc:description/>
  <cp:lastModifiedBy>Elsa Bou Gebrael (Student)</cp:lastModifiedBy>
  <cp:revision/>
  <dcterms:created xsi:type="dcterms:W3CDTF">2024-10-08T19:20:11Z</dcterms:created>
  <dcterms:modified xsi:type="dcterms:W3CDTF">2025-08-02T07:38:22Z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