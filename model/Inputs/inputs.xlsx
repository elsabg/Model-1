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odel-1/model/Inputs/"/>
    </mc:Choice>
  </mc:AlternateContent>
  <xr:revisionPtr revIDLastSave="233" documentId="6_{7DA8CDEE-914B-4384-BE83-347F050180D5}" xr6:coauthVersionLast="47" xr6:coauthVersionMax="47" xr10:uidLastSave="{D9E27A5E-4AB9-4FF6-9338-6D51785C5180}"/>
  <bookViews>
    <workbookView xWindow="-110" yWindow="-110" windowWidth="19420" windowHeight="10420" firstSheet="2" activeTab="7" xr2:uid="{00000000-000D-0000-FFFF-FFFF00000000}"/>
  </bookViews>
  <sheets>
    <sheet name="parameters" sheetId="1" r:id="rId1"/>
    <sheet name="rent_cap" sheetId="5" r:id="rId2"/>
    <sheet name="tech" sheetId="6" r:id="rId3"/>
    <sheet name="capex" sheetId="7" r:id="rId4"/>
    <sheet name="heat_rate" sheetId="8" r:id="rId5"/>
    <sheet name="day_weights" sheetId="2" r:id="rId6"/>
    <sheet name="cap_factors" sheetId="4" r:id="rId7"/>
    <sheet name="elec_demand (1)" sheetId="3" r:id="rId8"/>
    <sheet name="elec_demand (2)" sheetId="9" r:id="rId9"/>
  </sheets>
  <definedNames>
    <definedName name="d">'elec_demand (2)'!$B$6:$Y$8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8" l="1"/>
  <c r="B3" i="8"/>
  <c r="B2" i="8"/>
</calcChain>
</file>

<file path=xl/sharedStrings.xml><?xml version="1.0" encoding="utf-8"?>
<sst xmlns="http://schemas.openxmlformats.org/spreadsheetml/2006/main" count="40" uniqueCount="34">
  <si>
    <t>min SoC</t>
  </si>
  <si>
    <t>Battery Eff</t>
  </si>
  <si>
    <t>Planning horizon</t>
  </si>
  <si>
    <t>Days</t>
  </si>
  <si>
    <t>Hours</t>
  </si>
  <si>
    <t>Type 1</t>
  </si>
  <si>
    <t>Type 2</t>
  </si>
  <si>
    <t>No available</t>
  </si>
  <si>
    <t>Initial capacity</t>
  </si>
  <si>
    <t>Remaining lifetime</t>
  </si>
  <si>
    <t>Lifetime</t>
  </si>
  <si>
    <t>UOFC</t>
  </si>
  <si>
    <t>UOVC</t>
  </si>
  <si>
    <t>Diesel Generator</t>
  </si>
  <si>
    <t>Owned PV</t>
  </si>
  <si>
    <t>Owned Batteries</t>
  </si>
  <si>
    <t>HR</t>
  </si>
  <si>
    <t>Weight</t>
  </si>
  <si>
    <t>Day 1</t>
  </si>
  <si>
    <t>Day 2</t>
  </si>
  <si>
    <t>Day 3</t>
  </si>
  <si>
    <t>day 1</t>
  </si>
  <si>
    <t>day 2</t>
  </si>
  <si>
    <t>day 3</t>
  </si>
  <si>
    <t>0%-30%</t>
  </si>
  <si>
    <t>30%-60%</t>
  </si>
  <si>
    <t>60%-100%</t>
  </si>
  <si>
    <t>summer</t>
  </si>
  <si>
    <t>fall_spring</t>
  </si>
  <si>
    <t>winter</t>
  </si>
  <si>
    <t>Avg PV capacity (kWp)</t>
  </si>
  <si>
    <t>DG annual capacity</t>
  </si>
  <si>
    <t>Diesel</t>
  </si>
  <si>
    <t>Allow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</si>
</sst>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0" fontId="2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fmlaLink="$G$2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171450</xdr:rowOff>
        </xdr:from>
        <xdr:to>
          <xdr:col>6</xdr:col>
          <xdr:colOff>241300</xdr:colOff>
          <xdr:row>2</xdr:row>
          <xdr:rowOff>6350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"/>
  <sheetViews>
    <sheetView workbookViewId="0">
      <selection activeCell="I10" sqref="I10"/>
    </sheetView>
  </sheetViews>
  <sheetFormatPr defaultColWidth="9" defaultRowHeight="14.5" x14ac:dyDescent="0.35"/>
  <cols>
    <col min="1" max="1" width="12" bestFit="1" customWidth="1"/>
    <col min="2" max="2" width="16.54296875" bestFit="1" customWidth="1"/>
    <col min="3" max="3" width="9.08984375" bestFit="1" customWidth="1"/>
    <col min="4" max="4" width="14.08984375" bestFit="1" customWidth="1"/>
    <col min="7" max="7" width="11.08984375" bestFit="1" customWidth="1"/>
    <col min="8" max="8" width="11" customWidth="1"/>
  </cols>
  <sheetData>
    <row r="1" spans="1:7" x14ac:dyDescent="0.35">
      <c r="A1" t="s">
        <v>0</v>
      </c>
      <c r="B1" t="s">
        <v>31</v>
      </c>
      <c r="C1" t="s">
        <v>1</v>
      </c>
      <c r="D1" t="s">
        <v>2</v>
      </c>
      <c r="E1" t="s">
        <v>3</v>
      </c>
      <c r="F1" t="s">
        <v>4</v>
      </c>
      <c r="G1" t="s">
        <v>33</v>
      </c>
    </row>
    <row r="2" spans="1:7" x14ac:dyDescent="0.35">
      <c r="A2">
        <v>0.02</v>
      </c>
      <c r="B2">
        <v>0.8</v>
      </c>
      <c r="C2">
        <v>0.99</v>
      </c>
      <c r="D2">
        <v>15</v>
      </c>
      <c r="E2">
        <v>3</v>
      </c>
      <c r="F2">
        <v>24</v>
      </c>
      <c r="G2" t="b">
        <v>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Check Box 2">
              <controlPr defaultSize="0" autoFill="0" autoLine="0" autoPict="0">
                <anchor moveWithCells="1">
                  <from>
                    <xdr:col>6</xdr:col>
                    <xdr:colOff>0</xdr:colOff>
                    <xdr:row>0</xdr:row>
                    <xdr:rowOff>171450</xdr:rowOff>
                  </from>
                  <to>
                    <xdr:col>6</xdr:col>
                    <xdr:colOff>241300</xdr:colOff>
                    <xdr:row>2</xdr:row>
                    <xdr:rowOff>6350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FB98-37F3-4971-B4CD-1E6A7262204F}">
  <sheetPr codeName="Sheet2"/>
  <dimension ref="A1:C3"/>
  <sheetViews>
    <sheetView workbookViewId="0">
      <selection activeCell="D4" sqref="D4"/>
    </sheetView>
  </sheetViews>
  <sheetFormatPr defaultColWidth="9" defaultRowHeight="14.5" x14ac:dyDescent="0.35"/>
  <cols>
    <col min="1" max="1" width="18.81640625" bestFit="1" customWidth="1"/>
    <col min="2" max="2" width="14.90625" bestFit="1" customWidth="1"/>
    <col min="3" max="3" width="17.26953125" bestFit="1" customWidth="1"/>
  </cols>
  <sheetData>
    <row r="1" spans="1:3" x14ac:dyDescent="0.35">
      <c r="B1" t="s">
        <v>5</v>
      </c>
      <c r="C1" t="s">
        <v>6</v>
      </c>
    </row>
    <row r="2" spans="1:3" x14ac:dyDescent="0.35">
      <c r="A2" t="s">
        <v>7</v>
      </c>
      <c r="B2">
        <v>556</v>
      </c>
      <c r="C2">
        <v>385</v>
      </c>
    </row>
    <row r="3" spans="1:3" x14ac:dyDescent="0.35">
      <c r="A3" t="s">
        <v>30</v>
      </c>
      <c r="B3">
        <v>0</v>
      </c>
      <c r="C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DF95-CF95-4796-ABE1-012E5312AEC2}">
  <sheetPr codeName="Sheet3"/>
  <dimension ref="A1:F5"/>
  <sheetViews>
    <sheetView workbookViewId="0">
      <selection activeCell="C10" sqref="C10"/>
    </sheetView>
  </sheetViews>
  <sheetFormatPr defaultColWidth="9" defaultRowHeight="14.5" x14ac:dyDescent="0.35"/>
  <cols>
    <col min="1" max="1" width="27.36328125" bestFit="1" customWidth="1"/>
    <col min="2" max="2" width="12.6328125" bestFit="1" customWidth="1"/>
    <col min="3" max="3" width="15.90625" bestFit="1" customWidth="1"/>
    <col min="4" max="4" width="7.36328125" bestFit="1" customWidth="1"/>
    <col min="5" max="5" width="5.7265625" bestFit="1" customWidth="1"/>
    <col min="6" max="6" width="6.81640625" bestFit="1" customWidth="1"/>
  </cols>
  <sheetData>
    <row r="1" spans="1:6" x14ac:dyDescent="0.35"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35">
      <c r="A2" t="s">
        <v>13</v>
      </c>
      <c r="B2">
        <v>400</v>
      </c>
      <c r="C2">
        <v>3</v>
      </c>
      <c r="D2" s="4">
        <v>5</v>
      </c>
      <c r="E2" s="4">
        <v>84.069000000000003</v>
      </c>
      <c r="F2">
        <v>1.4000710227272728E-2</v>
      </c>
    </row>
    <row r="3" spans="1:6" x14ac:dyDescent="0.35">
      <c r="A3" t="s">
        <v>14</v>
      </c>
      <c r="B3">
        <v>0</v>
      </c>
      <c r="C3">
        <v>0</v>
      </c>
      <c r="D3" s="4">
        <v>25</v>
      </c>
      <c r="E3" s="4">
        <v>21.8</v>
      </c>
      <c r="F3">
        <v>0</v>
      </c>
    </row>
    <row r="4" spans="1:6" x14ac:dyDescent="0.35">
      <c r="A4" t="s">
        <v>15</v>
      </c>
      <c r="B4">
        <v>0</v>
      </c>
      <c r="C4">
        <v>0</v>
      </c>
      <c r="D4" s="4">
        <v>8</v>
      </c>
      <c r="E4" s="4">
        <v>60.8</v>
      </c>
      <c r="F4" s="6">
        <v>5.9999999999999995E-4</v>
      </c>
    </row>
    <row r="5" spans="1:6" x14ac:dyDescent="0.35">
      <c r="A5" t="s">
        <v>32</v>
      </c>
      <c r="F5">
        <v>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D110-F0D2-4F9D-B0C4-13B38005F879}">
  <sheetPr codeName="Sheet4"/>
  <dimension ref="A1:D16"/>
  <sheetViews>
    <sheetView workbookViewId="0">
      <selection activeCell="H7" sqref="H7"/>
    </sheetView>
  </sheetViews>
  <sheetFormatPr defaultColWidth="9" defaultRowHeight="14.5" x14ac:dyDescent="0.35"/>
  <cols>
    <col min="1" max="1" width="6.90625" customWidth="1"/>
    <col min="2" max="3" width="14.54296875" bestFit="1" customWidth="1"/>
    <col min="4" max="4" width="14.26953125" bestFit="1" customWidth="1"/>
  </cols>
  <sheetData>
    <row r="1" spans="1:4" x14ac:dyDescent="0.35">
      <c r="B1" t="s">
        <v>13</v>
      </c>
      <c r="C1" t="s">
        <v>14</v>
      </c>
      <c r="D1" t="s">
        <v>15</v>
      </c>
    </row>
    <row r="2" spans="1:4" x14ac:dyDescent="0.35">
      <c r="A2">
        <v>0</v>
      </c>
      <c r="B2">
        <v>800</v>
      </c>
      <c r="C2">
        <v>963.61300000000006</v>
      </c>
      <c r="D2">
        <v>335.12299999999999</v>
      </c>
    </row>
    <row r="3" spans="1:4" x14ac:dyDescent="0.35">
      <c r="A3">
        <v>1</v>
      </c>
      <c r="B3">
        <v>800</v>
      </c>
      <c r="C3">
        <v>910.60199999999998</v>
      </c>
      <c r="D3">
        <v>323.07068600000002</v>
      </c>
    </row>
    <row r="4" spans="1:4" x14ac:dyDescent="0.35">
      <c r="A4">
        <v>2</v>
      </c>
      <c r="B4">
        <v>800</v>
      </c>
      <c r="C4">
        <v>856.41399999999999</v>
      </c>
      <c r="D4">
        <v>310.63</v>
      </c>
    </row>
    <row r="5" spans="1:4" x14ac:dyDescent="0.35">
      <c r="A5">
        <v>3</v>
      </c>
      <c r="B5">
        <v>800</v>
      </c>
      <c r="C5">
        <v>803.40300000000002</v>
      </c>
      <c r="D5">
        <v>298.57800000000003</v>
      </c>
    </row>
    <row r="6" spans="1:4" x14ac:dyDescent="0.35">
      <c r="A6">
        <v>4</v>
      </c>
      <c r="B6">
        <v>800</v>
      </c>
      <c r="C6">
        <v>790.44499999999994</v>
      </c>
      <c r="D6">
        <v>286.52600000000001</v>
      </c>
    </row>
    <row r="7" spans="1:4" x14ac:dyDescent="0.35">
      <c r="A7">
        <v>5</v>
      </c>
      <c r="B7">
        <v>800</v>
      </c>
      <c r="C7">
        <v>777.48700000000008</v>
      </c>
      <c r="D7">
        <v>274.08500000000004</v>
      </c>
    </row>
    <row r="8" spans="1:4" x14ac:dyDescent="0.35">
      <c r="A8">
        <v>6</v>
      </c>
      <c r="B8">
        <v>800</v>
      </c>
      <c r="C8">
        <v>765.70699999999999</v>
      </c>
      <c r="D8">
        <v>269.80900000000003</v>
      </c>
    </row>
    <row r="9" spans="1:4" x14ac:dyDescent="0.35">
      <c r="A9">
        <v>7</v>
      </c>
      <c r="B9">
        <v>800</v>
      </c>
      <c r="C9">
        <v>752.74900000000002</v>
      </c>
      <c r="D9">
        <v>265.92099999999999</v>
      </c>
    </row>
    <row r="10" spans="1:4" x14ac:dyDescent="0.35">
      <c r="A10">
        <v>8</v>
      </c>
      <c r="B10">
        <v>800</v>
      </c>
      <c r="C10">
        <v>739.79099999999994</v>
      </c>
      <c r="D10">
        <v>261.64400000000001</v>
      </c>
    </row>
    <row r="11" spans="1:4" x14ac:dyDescent="0.35">
      <c r="A11">
        <v>9</v>
      </c>
      <c r="B11">
        <v>800</v>
      </c>
      <c r="C11">
        <v>728.01</v>
      </c>
      <c r="D11">
        <v>257.36799999999999</v>
      </c>
    </row>
    <row r="12" spans="1:4" x14ac:dyDescent="0.35">
      <c r="A12">
        <v>10</v>
      </c>
      <c r="B12">
        <v>800</v>
      </c>
      <c r="C12">
        <v>715.05200000000002</v>
      </c>
      <c r="D12">
        <v>253.09100000000001</v>
      </c>
    </row>
    <row r="13" spans="1:4" x14ac:dyDescent="0.35">
      <c r="A13">
        <v>11</v>
      </c>
      <c r="B13">
        <v>800</v>
      </c>
      <c r="C13">
        <v>703.27200000000005</v>
      </c>
      <c r="D13">
        <v>249.20400000000001</v>
      </c>
    </row>
    <row r="14" spans="1:4" x14ac:dyDescent="0.35">
      <c r="A14">
        <v>12</v>
      </c>
      <c r="B14">
        <v>800</v>
      </c>
      <c r="C14">
        <v>690.31399999999996</v>
      </c>
      <c r="D14">
        <v>244.92699999999999</v>
      </c>
    </row>
    <row r="15" spans="1:4" x14ac:dyDescent="0.35">
      <c r="A15">
        <v>13</v>
      </c>
      <c r="B15">
        <v>800</v>
      </c>
      <c r="C15">
        <v>677.35599999999999</v>
      </c>
      <c r="D15">
        <v>240.65100000000001</v>
      </c>
    </row>
    <row r="16" spans="1:4" x14ac:dyDescent="0.35">
      <c r="A16">
        <v>14</v>
      </c>
      <c r="B16">
        <v>800</v>
      </c>
      <c r="C16">
        <v>665.57599999999991</v>
      </c>
      <c r="D16">
        <v>236.374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6C09-E6BA-453E-9B68-3059E2926BDF}">
  <sheetPr codeName="Sheet5"/>
  <dimension ref="A1:B4"/>
  <sheetViews>
    <sheetView workbookViewId="0">
      <selection activeCell="C11" sqref="C11"/>
    </sheetView>
  </sheetViews>
  <sheetFormatPr defaultColWidth="9" defaultRowHeight="14.5" x14ac:dyDescent="0.35"/>
  <cols>
    <col min="1" max="1" width="10" customWidth="1"/>
    <col min="2" max="3" width="8.6328125" bestFit="1" customWidth="1"/>
    <col min="4" max="4" width="9.6328125" bestFit="1" customWidth="1"/>
  </cols>
  <sheetData>
    <row r="1" spans="1:2" x14ac:dyDescent="0.35">
      <c r="B1" t="s">
        <v>16</v>
      </c>
    </row>
    <row r="2" spans="1:2" x14ac:dyDescent="0.35">
      <c r="A2" t="s">
        <v>24</v>
      </c>
      <c r="B2">
        <f>(-0.2129*(0.3^3+0^3) +0.6056*(0.3^2+0^2) - 0.5538*(0.3+0) + 0.4067*2)/2</f>
        <v>0.34800785000000001</v>
      </c>
    </row>
    <row r="3" spans="1:2" x14ac:dyDescent="0.35">
      <c r="A3" t="s">
        <v>25</v>
      </c>
      <c r="B3">
        <f>(-0.2129*(0.6^3+0.3^3) +0.6056*(0.6^2+0.3^2) - 0.5538*(0.6+0.3) + 0.4067*2)/2</f>
        <v>0.26788265000000006</v>
      </c>
    </row>
    <row r="4" spans="1:2" x14ac:dyDescent="0.35">
      <c r="A4" t="s">
        <v>26</v>
      </c>
      <c r="B4">
        <f>(-0.2129*(1^3+0.6^3) +0.6056*(1^2+0.6^2) - 0.5538*(1+0.6) + 0.4067*2)/2</f>
        <v>0.24602479999999999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A018-F4D8-4049-8785-D914448B1EBA}">
  <sheetPr codeName="Sheet6"/>
  <dimension ref="A1:B4"/>
  <sheetViews>
    <sheetView workbookViewId="0">
      <selection activeCell="F7" sqref="F7"/>
    </sheetView>
  </sheetViews>
  <sheetFormatPr defaultColWidth="9" defaultRowHeight="14.5" x14ac:dyDescent="0.35"/>
  <sheetData>
    <row r="1" spans="1:2" x14ac:dyDescent="0.35">
      <c r="B1" t="s">
        <v>17</v>
      </c>
    </row>
    <row r="2" spans="1:2" x14ac:dyDescent="0.35">
      <c r="A2" t="s">
        <v>18</v>
      </c>
      <c r="B2">
        <v>199</v>
      </c>
    </row>
    <row r="3" spans="1:2" x14ac:dyDescent="0.35">
      <c r="A3" t="s">
        <v>19</v>
      </c>
      <c r="B3">
        <v>106</v>
      </c>
    </row>
    <row r="4" spans="1:2" x14ac:dyDescent="0.35">
      <c r="A4" t="s">
        <v>20</v>
      </c>
      <c r="B4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DE72-C341-45B3-B73B-C7F84D832AAF}">
  <sheetPr codeName="Sheet7"/>
  <dimension ref="A1:Y4"/>
  <sheetViews>
    <sheetView workbookViewId="0">
      <selection activeCell="N14" sqref="N14"/>
    </sheetView>
  </sheetViews>
  <sheetFormatPr defaultColWidth="9" defaultRowHeight="14.5" x14ac:dyDescent="0.35"/>
  <cols>
    <col min="1" max="1" width="9.453125" bestFit="1" customWidth="1"/>
    <col min="2" max="25" width="5.6328125" customWidth="1"/>
  </cols>
  <sheetData>
    <row r="1" spans="1:25" x14ac:dyDescent="0.3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x14ac:dyDescent="0.35">
      <c r="A2" s="5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4.0201005025125598E-3</v>
      </c>
      <c r="H2">
        <v>4.1170854271356763E-2</v>
      </c>
      <c r="I2">
        <v>0.15498492462311561</v>
      </c>
      <c r="J2">
        <v>0.34120100502512568</v>
      </c>
      <c r="K2">
        <v>0.51137185929648243</v>
      </c>
      <c r="L2">
        <v>0.63440201005025132</v>
      </c>
      <c r="M2">
        <v>0.70589447236180902</v>
      </c>
      <c r="N2">
        <v>0.7173165829145729</v>
      </c>
      <c r="O2">
        <v>0.67734170854271358</v>
      </c>
      <c r="P2">
        <v>0.57809547738693468</v>
      </c>
      <c r="Q2">
        <v>0.43412562814070349</v>
      </c>
      <c r="R2">
        <v>0.25252763819095481</v>
      </c>
      <c r="S2">
        <v>9.1608040201005048E-2</v>
      </c>
      <c r="T2">
        <v>1.7597989949748739E-2</v>
      </c>
      <c r="U2">
        <v>3.2160804020100472E-4</v>
      </c>
      <c r="V2">
        <v>0</v>
      </c>
      <c r="W2">
        <v>0</v>
      </c>
      <c r="X2">
        <v>0</v>
      </c>
      <c r="Y2">
        <v>0</v>
      </c>
    </row>
    <row r="3" spans="1:25" x14ac:dyDescent="0.35">
      <c r="A3" s="5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2.1509433962264152E-3</v>
      </c>
      <c r="H3">
        <v>2.0773584905660381E-2</v>
      </c>
      <c r="I3">
        <v>7.4056603773584917E-2</v>
      </c>
      <c r="J3">
        <v>0.20321698113207551</v>
      </c>
      <c r="K3">
        <v>0.34733018867924531</v>
      </c>
      <c r="L3">
        <v>0.46702830188679251</v>
      </c>
      <c r="M3">
        <v>0.54499999999999993</v>
      </c>
      <c r="N3">
        <v>0.55942452830188683</v>
      </c>
      <c r="O3">
        <v>0.51176415094339622</v>
      </c>
      <c r="P3">
        <v>0.41073584905660382</v>
      </c>
      <c r="Q3">
        <v>0.27456603773584909</v>
      </c>
      <c r="R3">
        <v>0.13354716981132081</v>
      </c>
      <c r="S3">
        <v>3.995283018867922E-2</v>
      </c>
      <c r="T3">
        <v>8.6698113207547139E-3</v>
      </c>
      <c r="U3">
        <v>1.4150943396226421E-4</v>
      </c>
      <c r="V3">
        <v>0</v>
      </c>
      <c r="W3">
        <v>0</v>
      </c>
      <c r="X3">
        <v>0</v>
      </c>
      <c r="Y3">
        <v>0</v>
      </c>
    </row>
    <row r="4" spans="1:25" x14ac:dyDescent="0.35">
      <c r="A4" s="5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1.8032786885245899E-3</v>
      </c>
      <c r="H4">
        <v>1.6032786885245912E-2</v>
      </c>
      <c r="I4">
        <v>5.4229508196721322E-2</v>
      </c>
      <c r="J4">
        <v>0.1274918032786885</v>
      </c>
      <c r="K4">
        <v>0.20950819672131141</v>
      </c>
      <c r="L4">
        <v>0.26809836065573772</v>
      </c>
      <c r="M4">
        <v>0.28267213114754092</v>
      </c>
      <c r="N4">
        <v>0.27595081967213131</v>
      </c>
      <c r="O4">
        <v>0.25488524590163941</v>
      </c>
      <c r="P4">
        <v>0.21809836065573759</v>
      </c>
      <c r="Q4">
        <v>0.151</v>
      </c>
      <c r="R4">
        <v>8.1081967213114725E-2</v>
      </c>
      <c r="S4">
        <v>3.1426229508196707E-2</v>
      </c>
      <c r="T4">
        <v>7.7049180327868824E-3</v>
      </c>
      <c r="U4">
        <v>9.8360655737705021E-5</v>
      </c>
      <c r="V4">
        <v>0</v>
      </c>
      <c r="W4">
        <v>0</v>
      </c>
      <c r="X4">
        <v>0</v>
      </c>
      <c r="Y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ED9F3-A079-4BB6-8141-C898B88CBE8C}">
  <sheetPr codeName="Sheet8"/>
  <dimension ref="A1:Y31"/>
  <sheetViews>
    <sheetView tabSelected="1" workbookViewId="0">
      <selection activeCell="F8" sqref="F8"/>
    </sheetView>
  </sheetViews>
  <sheetFormatPr defaultColWidth="9" defaultRowHeight="14.5" x14ac:dyDescent="0.35"/>
  <cols>
    <col min="2" max="25" width="6.6328125" customWidth="1"/>
  </cols>
  <sheetData>
    <row r="1" spans="1:25" x14ac:dyDescent="0.3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5">
      <c r="A2" t="s">
        <v>21</v>
      </c>
      <c r="B2">
        <v>0.50966710862198827</v>
      </c>
      <c r="C2">
        <v>0.5378994808540265</v>
      </c>
      <c r="D2">
        <v>0.53090703423607699</v>
      </c>
      <c r="E2">
        <v>0.53124301708715971</v>
      </c>
      <c r="F2">
        <v>0.52153379679324718</v>
      </c>
      <c r="G2">
        <v>0.49426688993448104</v>
      </c>
      <c r="H2">
        <v>0.42588406065382994</v>
      </c>
      <c r="I2">
        <v>0.38927000806723039</v>
      </c>
      <c r="J2">
        <v>0.32784201041527922</v>
      </c>
      <c r="K2">
        <v>0.39403786103913829</v>
      </c>
      <c r="L2">
        <v>0.42387390011083459</v>
      </c>
      <c r="M2">
        <v>0.41429178637998687</v>
      </c>
      <c r="N2">
        <v>0.41261342373487581</v>
      </c>
      <c r="O2">
        <v>0.41384570399583948</v>
      </c>
      <c r="P2">
        <v>0.41587988599549158</v>
      </c>
      <c r="Q2">
        <v>0.39982959439825999</v>
      </c>
      <c r="R2">
        <v>0.38773501471725841</v>
      </c>
      <c r="S2">
        <v>0.3186474998936335</v>
      </c>
      <c r="T2">
        <v>0.25054140426885008</v>
      </c>
      <c r="U2">
        <v>0.27056497061016371</v>
      </c>
      <c r="V2">
        <v>0.36064017729795278</v>
      </c>
      <c r="W2">
        <v>0.39697265447803048</v>
      </c>
      <c r="X2">
        <v>0.42768970618440738</v>
      </c>
      <c r="Y2">
        <v>0.4793303803666743</v>
      </c>
    </row>
    <row r="3" spans="1:25" x14ac:dyDescent="0.35">
      <c r="A3" t="s">
        <v>22</v>
      </c>
      <c r="B3">
        <v>0.21451117157625252</v>
      </c>
      <c r="C3">
        <v>0.201505708253541</v>
      </c>
      <c r="D3">
        <v>0.18470652041524671</v>
      </c>
      <c r="E3">
        <v>0.18225432239922348</v>
      </c>
      <c r="F3">
        <v>0.1554154603117506</v>
      </c>
      <c r="G3">
        <v>0.1117803120003997</v>
      </c>
      <c r="H3">
        <v>9.0519316070893294E-2</v>
      </c>
      <c r="I3">
        <v>3.6473810596522891E-3</v>
      </c>
      <c r="J3">
        <v>6.4906675934941482E-3</v>
      </c>
      <c r="K3">
        <v>1.3591447442735459E-2</v>
      </c>
      <c r="L3">
        <v>2.2364190957251128E-2</v>
      </c>
      <c r="M3">
        <v>3.1440585337638952E-2</v>
      </c>
      <c r="N3">
        <v>8.5988232895579907E-3</v>
      </c>
      <c r="O3">
        <v>7.2333525303942922E-2</v>
      </c>
      <c r="P3">
        <v>1.866558683208901E-2</v>
      </c>
      <c r="Q3">
        <v>6.6216998886605011E-2</v>
      </c>
      <c r="R3">
        <v>2.0066803971457031E-2</v>
      </c>
      <c r="S3">
        <v>8.3773723157837349E-2</v>
      </c>
      <c r="T3">
        <v>0.1144162737037261</v>
      </c>
      <c r="U3">
        <v>0.16986397859008559</v>
      </c>
      <c r="V3">
        <v>0.20655493073070949</v>
      </c>
      <c r="W3">
        <v>0.22152122671408322</v>
      </c>
      <c r="X3">
        <v>0.20763276923213911</v>
      </c>
      <c r="Y3">
        <v>0.2348585481078552</v>
      </c>
    </row>
    <row r="4" spans="1:25" x14ac:dyDescent="0.35">
      <c r="A4" t="s">
        <v>23</v>
      </c>
      <c r="B4">
        <v>8.005597698503418E-2</v>
      </c>
      <c r="C4">
        <v>7.7211791688954104E-2</v>
      </c>
      <c r="D4">
        <v>5.5918791628873997E-2</v>
      </c>
      <c r="E4">
        <v>1.0642524735926339E-2</v>
      </c>
      <c r="F4">
        <v>3.9543081047258954E-2</v>
      </c>
      <c r="G4">
        <v>8.6450810668165581E-2</v>
      </c>
      <c r="H4">
        <v>0.14607880221876421</v>
      </c>
      <c r="I4">
        <v>0.17308492085455379</v>
      </c>
      <c r="J4">
        <v>0.19612612231534801</v>
      </c>
      <c r="K4">
        <v>0.2120407695560845</v>
      </c>
      <c r="L4">
        <v>0.24076334244371791</v>
      </c>
      <c r="M4">
        <v>0.2515475077754965</v>
      </c>
      <c r="N4">
        <v>0.22804079980856531</v>
      </c>
      <c r="O4">
        <v>0.24612502923546858</v>
      </c>
      <c r="P4">
        <v>0.24122140464981048</v>
      </c>
      <c r="Q4">
        <v>0.25383203669113041</v>
      </c>
      <c r="R4">
        <v>0.27166616365594148</v>
      </c>
      <c r="S4">
        <v>0.2293876512998364</v>
      </c>
      <c r="T4">
        <v>0.1350092828668254</v>
      </c>
      <c r="U4">
        <v>0.20668343356313848</v>
      </c>
      <c r="V4">
        <v>0.1208918472888901</v>
      </c>
      <c r="W4">
        <v>0.2060606107426603</v>
      </c>
      <c r="X4">
        <v>0.1022593244130014</v>
      </c>
      <c r="Y4">
        <v>0.11364610358988639</v>
      </c>
    </row>
    <row r="6" spans="1:25" x14ac:dyDescent="0.35">
      <c r="D6" s="4"/>
    </row>
    <row r="7" spans="1:25" x14ac:dyDescent="0.35">
      <c r="D7" s="4"/>
    </row>
    <row r="8" spans="1:25" x14ac:dyDescent="0.35">
      <c r="D8" s="4"/>
    </row>
    <row r="9" spans="1:25" x14ac:dyDescent="0.35">
      <c r="D9" s="4"/>
    </row>
    <row r="10" spans="1:25" x14ac:dyDescent="0.35">
      <c r="D10" s="4"/>
    </row>
    <row r="11" spans="1:25" x14ac:dyDescent="0.35">
      <c r="D11" s="4"/>
    </row>
    <row r="12" spans="1:25" x14ac:dyDescent="0.35">
      <c r="D12" s="4"/>
    </row>
    <row r="13" spans="1:25" x14ac:dyDescent="0.35">
      <c r="D13" s="4"/>
    </row>
    <row r="14" spans="1:25" x14ac:dyDescent="0.35">
      <c r="D14" s="4"/>
    </row>
    <row r="15" spans="1:25" x14ac:dyDescent="0.35">
      <c r="D15" s="4"/>
    </row>
    <row r="16" spans="1:25" x14ac:dyDescent="0.35">
      <c r="D16" s="4"/>
    </row>
    <row r="17" spans="2:4" x14ac:dyDescent="0.35">
      <c r="D17" s="4"/>
    </row>
    <row r="18" spans="2:4" x14ac:dyDescent="0.35">
      <c r="D18" s="4"/>
    </row>
    <row r="19" spans="2:4" x14ac:dyDescent="0.35">
      <c r="D19" s="4"/>
    </row>
    <row r="20" spans="2:4" x14ac:dyDescent="0.35">
      <c r="D20" s="4"/>
    </row>
    <row r="21" spans="2:4" x14ac:dyDescent="0.35">
      <c r="D21" s="4"/>
    </row>
    <row r="22" spans="2:4" x14ac:dyDescent="0.35">
      <c r="D22" s="4"/>
    </row>
    <row r="23" spans="2:4" x14ac:dyDescent="0.35">
      <c r="D23" s="4"/>
    </row>
    <row r="24" spans="2:4" x14ac:dyDescent="0.35">
      <c r="D24" s="4"/>
    </row>
    <row r="25" spans="2:4" x14ac:dyDescent="0.35">
      <c r="D25" s="4"/>
    </row>
    <row r="26" spans="2:4" x14ac:dyDescent="0.35">
      <c r="D26" s="4"/>
    </row>
    <row r="27" spans="2:4" x14ac:dyDescent="0.35">
      <c r="D27" s="4"/>
    </row>
    <row r="28" spans="2:4" x14ac:dyDescent="0.35">
      <c r="D28" s="4"/>
    </row>
    <row r="29" spans="2:4" x14ac:dyDescent="0.35">
      <c r="D29" s="4"/>
    </row>
    <row r="30" spans="2:4" x14ac:dyDescent="0.35">
      <c r="B30" s="1"/>
      <c r="C30" s="2"/>
      <c r="D30" s="3"/>
    </row>
    <row r="31" spans="2:4" x14ac:dyDescent="0.35">
      <c r="B31" s="1"/>
      <c r="C31" s="2"/>
      <c r="D3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374D-6AFF-43B6-B370-B2ECC1DAC459}">
  <sheetPr codeName="Sheet9"/>
  <dimension ref="A1:Y31"/>
  <sheetViews>
    <sheetView topLeftCell="B1" workbookViewId="0">
      <selection activeCell="B5" sqref="B5"/>
    </sheetView>
  </sheetViews>
  <sheetFormatPr defaultColWidth="9" defaultRowHeight="14.5" x14ac:dyDescent="0.35"/>
  <cols>
    <col min="2" max="25" width="6.6328125" customWidth="1"/>
  </cols>
  <sheetData>
    <row r="1" spans="1:25" x14ac:dyDescent="0.3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5">
      <c r="A2" t="s">
        <v>21</v>
      </c>
      <c r="B2">
        <v>0.6499526881720431</v>
      </c>
      <c r="C2">
        <v>0.67091338709677428</v>
      </c>
      <c r="D2">
        <v>0.6677365591397848</v>
      </c>
      <c r="E2">
        <v>0.66065053763440862</v>
      </c>
      <c r="F2">
        <v>0.65670430107526878</v>
      </c>
      <c r="G2">
        <v>0.63447311827956987</v>
      </c>
      <c r="H2">
        <v>0.60750537634408597</v>
      </c>
      <c r="I2">
        <v>0.62390860215053756</v>
      </c>
      <c r="J2">
        <v>0.68743172043010747</v>
      </c>
      <c r="K2">
        <v>0.7462182795698924</v>
      </c>
      <c r="L2">
        <v>0.85605000000000009</v>
      </c>
      <c r="M2">
        <v>1.0262306451612901</v>
      </c>
      <c r="N2">
        <v>1.1167392473118281</v>
      </c>
      <c r="O2">
        <v>1.1836376344086019</v>
      </c>
      <c r="P2">
        <v>1.027217741935484</v>
      </c>
      <c r="Q2">
        <v>0.8889456989247313</v>
      </c>
      <c r="R2">
        <v>0.7538978494623656</v>
      </c>
      <c r="S2">
        <v>0.50274516129032254</v>
      </c>
      <c r="T2">
        <v>0.41429516129032262</v>
      </c>
      <c r="U2">
        <v>0.4041424731182795</v>
      </c>
      <c r="V2">
        <v>0.56056989247311817</v>
      </c>
      <c r="W2">
        <v>0.62054930107526873</v>
      </c>
      <c r="X2">
        <v>0.64192150537634407</v>
      </c>
      <c r="Y2">
        <v>0.62158602150537634</v>
      </c>
    </row>
    <row r="3" spans="1:25" x14ac:dyDescent="0.35">
      <c r="A3" t="s">
        <v>22</v>
      </c>
      <c r="B3">
        <v>0.21790277777777781</v>
      </c>
      <c r="C3">
        <v>0.1977038888888889</v>
      </c>
      <c r="D3">
        <v>0.18487999999999999</v>
      </c>
      <c r="E3">
        <v>0.1786611111111111</v>
      </c>
      <c r="F3">
        <v>0.1766422222222222</v>
      </c>
      <c r="G3">
        <v>0.18018061111111108</v>
      </c>
      <c r="H3">
        <v>0.18553142722222218</v>
      </c>
      <c r="I3">
        <v>0.26766836438888891</v>
      </c>
      <c r="J3">
        <v>0.35331903883333332</v>
      </c>
      <c r="K3">
        <v>0.42253938000000002</v>
      </c>
      <c r="L3">
        <v>0.49076894211111105</v>
      </c>
      <c r="M3">
        <v>0.52016991500000009</v>
      </c>
      <c r="N3">
        <v>0.56216287194444436</v>
      </c>
      <c r="O3">
        <v>0.56496133111111113</v>
      </c>
      <c r="P3">
        <v>0.48988244055555563</v>
      </c>
      <c r="Q3">
        <v>0.39801944444444437</v>
      </c>
      <c r="R3">
        <v>0.37564677777777777</v>
      </c>
      <c r="S3">
        <v>0.26654516666666672</v>
      </c>
      <c r="T3">
        <v>0.24320322222222218</v>
      </c>
      <c r="U3">
        <v>0.25915172105555551</v>
      </c>
      <c r="V3">
        <v>0.2592240844444445</v>
      </c>
      <c r="W3">
        <v>0.25418348333333329</v>
      </c>
      <c r="X3">
        <v>0.24293875555555558</v>
      </c>
      <c r="Y3">
        <v>0.2245986888888889</v>
      </c>
    </row>
    <row r="4" spans="1:25" x14ac:dyDescent="0.35">
      <c r="A4" t="s">
        <v>23</v>
      </c>
      <c r="B4">
        <v>0.29218918757467149</v>
      </c>
      <c r="C4">
        <v>0.26297022188086699</v>
      </c>
      <c r="D4">
        <v>0.25247546594982079</v>
      </c>
      <c r="E4">
        <v>0.2583069583376002</v>
      </c>
      <c r="F4">
        <v>0.26884988180576891</v>
      </c>
      <c r="G4">
        <v>0.25970625277351095</v>
      </c>
      <c r="H4">
        <v>0.27721292072025938</v>
      </c>
      <c r="I4">
        <v>0.351953955453149</v>
      </c>
      <c r="J4">
        <v>0.37542224782386069</v>
      </c>
      <c r="K4">
        <v>0.41070786546338967</v>
      </c>
      <c r="L4">
        <v>0.4224946364567333</v>
      </c>
      <c r="M4">
        <v>0.41664988095238104</v>
      </c>
      <c r="N4">
        <v>0.4182775402841783</v>
      </c>
      <c r="O4">
        <v>0.37095263056835642</v>
      </c>
      <c r="P4">
        <v>0.33604372759856632</v>
      </c>
      <c r="Q4">
        <v>0.34589174347158219</v>
      </c>
      <c r="R4">
        <v>0.35881936763952887</v>
      </c>
      <c r="S4">
        <v>0.36808729749103952</v>
      </c>
      <c r="T4">
        <v>0.40537927345110092</v>
      </c>
      <c r="U4">
        <v>0.42410566717869935</v>
      </c>
      <c r="V4">
        <v>0.43678193292370709</v>
      </c>
      <c r="W4">
        <v>0.41374089221710186</v>
      </c>
      <c r="X4">
        <v>0.37375091525857657</v>
      </c>
      <c r="Y4">
        <v>0.34653108678955447</v>
      </c>
    </row>
    <row r="13" spans="1:25" x14ac:dyDescent="0.35">
      <c r="B13" s="1"/>
      <c r="C13" s="2"/>
      <c r="D13" s="3"/>
    </row>
    <row r="14" spans="1:25" x14ac:dyDescent="0.35">
      <c r="B14" s="1"/>
      <c r="C14" s="2"/>
      <c r="D14" s="3"/>
    </row>
    <row r="15" spans="1:25" x14ac:dyDescent="0.35">
      <c r="B15" s="1"/>
      <c r="C15" s="2"/>
      <c r="D15" s="3"/>
    </row>
    <row r="16" spans="1:25" x14ac:dyDescent="0.35">
      <c r="B16" s="1"/>
      <c r="C16" s="2"/>
      <c r="D16" s="3"/>
    </row>
    <row r="17" spans="2:4" x14ac:dyDescent="0.35">
      <c r="B17" s="1"/>
      <c r="C17" s="2"/>
      <c r="D17" s="3"/>
    </row>
    <row r="18" spans="2:4" x14ac:dyDescent="0.35">
      <c r="B18" s="1"/>
      <c r="C18" s="2"/>
      <c r="D18" s="3"/>
    </row>
    <row r="19" spans="2:4" x14ac:dyDescent="0.35">
      <c r="B19" s="1"/>
      <c r="C19" s="2"/>
      <c r="D19" s="3"/>
    </row>
    <row r="20" spans="2:4" x14ac:dyDescent="0.35">
      <c r="B20" s="1"/>
      <c r="C20" s="2"/>
      <c r="D20" s="3"/>
    </row>
    <row r="21" spans="2:4" x14ac:dyDescent="0.35">
      <c r="B21" s="1"/>
      <c r="C21" s="2"/>
      <c r="D21" s="3"/>
    </row>
    <row r="22" spans="2:4" x14ac:dyDescent="0.35">
      <c r="B22" s="1"/>
      <c r="C22" s="2"/>
      <c r="D22" s="3"/>
    </row>
    <row r="23" spans="2:4" x14ac:dyDescent="0.35">
      <c r="B23" s="1"/>
      <c r="C23" s="2"/>
      <c r="D23" s="3"/>
    </row>
    <row r="24" spans="2:4" x14ac:dyDescent="0.35">
      <c r="B24" s="1"/>
      <c r="C24" s="2"/>
      <c r="D24" s="3"/>
    </row>
    <row r="25" spans="2:4" x14ac:dyDescent="0.35">
      <c r="B25" s="1"/>
      <c r="C25" s="2"/>
      <c r="D25" s="3"/>
    </row>
    <row r="26" spans="2:4" x14ac:dyDescent="0.35">
      <c r="B26" s="1"/>
      <c r="C26" s="2"/>
      <c r="D26" s="3"/>
    </row>
    <row r="27" spans="2:4" x14ac:dyDescent="0.35">
      <c r="B27" s="1"/>
      <c r="C27" s="2"/>
      <c r="D27" s="3"/>
    </row>
    <row r="28" spans="2:4" x14ac:dyDescent="0.35">
      <c r="B28" s="1"/>
      <c r="C28" s="2"/>
      <c r="D28" s="3"/>
    </row>
    <row r="29" spans="2:4" x14ac:dyDescent="0.35">
      <c r="B29" s="1"/>
      <c r="C29" s="2"/>
      <c r="D29" s="3"/>
    </row>
    <row r="30" spans="2:4" x14ac:dyDescent="0.35">
      <c r="B30" s="1"/>
      <c r="C30" s="2"/>
      <c r="D30" s="3"/>
    </row>
    <row r="31" spans="2:4" x14ac:dyDescent="0.35">
      <c r="B31" s="1"/>
      <c r="C31" s="2"/>
      <c r="D3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35CF4C7D56B243BA013D4D2E10914B" ma:contentTypeVersion="18" ma:contentTypeDescription="Create a new document." ma:contentTypeScope="" ma:versionID="2e645ef68b9493f2ee8bae9e534bc24f">
  <xsd:schema xmlns:xsd="http://www.w3.org/2001/XMLSchema" xmlns:xs="http://www.w3.org/2001/XMLSchema" xmlns:p="http://schemas.microsoft.com/office/2006/metadata/properties" xmlns:ns3="6d4e152b-60f6-4719-8921-68b5b8011cde" xmlns:ns4="28683373-984a-4841-9f0e-018f3f7bab1f" targetNamespace="http://schemas.microsoft.com/office/2006/metadata/properties" ma:root="true" ma:fieldsID="a06da6e71fc3d3bdf7cbe176c2a8afa1" ns3:_="" ns4:_="">
    <xsd:import namespace="6d4e152b-60f6-4719-8921-68b5b8011cde"/>
    <xsd:import namespace="28683373-984a-4841-9f0e-018f3f7bab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e152b-60f6-4719-8921-68b5b8011c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83373-984a-4841-9f0e-018f3f7bab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4e152b-60f6-4719-8921-68b5b8011cde" xsi:nil="true"/>
  </documentManagement>
</p:properties>
</file>

<file path=customXml/itemProps1.xml><?xml version="1.0" encoding="utf-8"?>
<ds:datastoreItem xmlns:ds="http://schemas.openxmlformats.org/officeDocument/2006/customXml" ds:itemID="{DCE34160-36D4-4F46-97A9-A281FB44CD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E4FBA5-6C26-4B97-9218-92B658F853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e152b-60f6-4719-8921-68b5b8011cde"/>
    <ds:schemaRef ds:uri="28683373-984a-4841-9f0e-018f3f7bab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5B8A76-94F3-412F-9855-4B93BB4C4C10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28683373-984a-4841-9f0e-018f3f7bab1f"/>
    <ds:schemaRef ds:uri="http://schemas.openxmlformats.org/package/2006/metadata/core-properties"/>
    <ds:schemaRef ds:uri="6d4e152b-60f6-4719-8921-68b5b8011cde"/>
    <ds:schemaRef ds:uri="http://schemas.microsoft.com/office/infopath/2007/PartnerControl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parameters</vt:lpstr>
      <vt:lpstr>rent_cap</vt:lpstr>
      <vt:lpstr>tech</vt:lpstr>
      <vt:lpstr>capex</vt:lpstr>
      <vt:lpstr>heat_rate</vt:lpstr>
      <vt:lpstr>day_weights</vt:lpstr>
      <vt:lpstr>cap_factors</vt:lpstr>
      <vt:lpstr>elec_demand (1)</vt:lpstr>
      <vt:lpstr>elec_demand (2)</vt:lpstr>
      <vt:lpstr>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Elsa</dc:creator>
  <cp:keywords/>
  <dc:description/>
  <cp:lastModifiedBy>Elsa Bou Gebrael (Student)</cp:lastModifiedBy>
  <cp:revision/>
  <dcterms:created xsi:type="dcterms:W3CDTF">2024-10-08T19:20:11Z</dcterms:created>
  <dcterms:modified xsi:type="dcterms:W3CDTF">2025-07-14T09:19:43Z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0x010100D835CF4C7D56B243BA013D4D2E10914B</vt:lpwstr>
  </property>
</Properties>
</file>